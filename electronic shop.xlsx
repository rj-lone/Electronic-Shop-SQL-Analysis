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K\Desktop\Excel\"/>
    </mc:Choice>
  </mc:AlternateContent>
  <bookViews>
    <workbookView xWindow="0" yWindow="0" windowWidth="9030" windowHeight="4420"/>
  </bookViews>
  <sheets>
    <sheet name="ORDER" sheetId="1" r:id="rId1"/>
    <sheet name="Customers" sheetId="2" r:id="rId2"/>
    <sheet name="Products" sheetId="3" r:id="rId3"/>
    <sheet name="Sheet3" sheetId="6" r:id="rId4"/>
    <sheet name="Sheet3 (2)" sheetId="12" r:id="rId5"/>
    <sheet name="Sheet3 (3)" sheetId="14" r:id="rId6"/>
    <sheet name="Dashboard" sheetId="15" r:id="rId7"/>
  </sheets>
  <definedNames>
    <definedName name="NativeTimeline_Order_Data">#N/A</definedName>
    <definedName name="NativeTimeline_Order_Data1">#N/A</definedName>
    <definedName name="NativeTimeline_Order_Data11">#N/A</definedName>
    <definedName name="Slicer_Country">#N/A</definedName>
    <definedName name="Slicer_Country1">#N/A</definedName>
    <definedName name="Slicer_Country11">#N/A</definedName>
    <definedName name="Slicer_Loyality_card">#N/A</definedName>
    <definedName name="Slicer_Loyality_card1">#N/A</definedName>
    <definedName name="Slicer_Loyality_card11">#N/A</definedName>
    <definedName name="Slicer_Type">#N/A</definedName>
    <definedName name="Slicer_Type1">#N/A</definedName>
    <definedName name="Slicer_Type11">#N/A</definedName>
  </definedNames>
  <calcPr calcId="152511"/>
  <pivotCaches>
    <pivotCache cacheId="1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 r:id="rId19"/>
        <x15:timelineCacheRef r:id="rId2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7" i="1" l="1"/>
  <c r="M10" i="1"/>
  <c r="N10" i="1" s="1"/>
  <c r="M12" i="1"/>
  <c r="N12" i="1" s="1"/>
  <c r="M13" i="1"/>
  <c r="M14" i="1"/>
  <c r="N14" i="1" s="1"/>
  <c r="M15" i="1"/>
  <c r="N15" i="1"/>
  <c r="O15" i="1" s="1"/>
  <c r="M16" i="1"/>
  <c r="N16" i="1" s="1"/>
  <c r="M18" i="1"/>
  <c r="N18" i="1"/>
  <c r="O18" i="1" s="1"/>
  <c r="M19" i="1"/>
  <c r="N19" i="1" s="1"/>
  <c r="M20" i="1"/>
  <c r="N20" i="1"/>
  <c r="M21" i="1"/>
  <c r="N21" i="1" s="1"/>
  <c r="O21" i="1" s="1"/>
  <c r="M22" i="1"/>
  <c r="N22" i="1" s="1"/>
  <c r="M23" i="1"/>
  <c r="N23" i="1" s="1"/>
  <c r="M24" i="1"/>
  <c r="N24" i="1" s="1"/>
  <c r="M25" i="1"/>
  <c r="N25" i="1" s="1"/>
  <c r="M26" i="1"/>
  <c r="N26" i="1" s="1"/>
  <c r="M27" i="1"/>
  <c r="M28" i="1"/>
  <c r="N28" i="1" s="1"/>
  <c r="O28" i="1" s="1"/>
  <c r="M29" i="1"/>
  <c r="M30" i="1"/>
  <c r="N30" i="1" s="1"/>
  <c r="M31" i="1"/>
  <c r="N31" i="1" s="1"/>
  <c r="M32" i="1"/>
  <c r="M33" i="1"/>
  <c r="M34" i="1"/>
  <c r="N34" i="1"/>
  <c r="O34" i="1" s="1"/>
  <c r="M35" i="1"/>
  <c r="N35" i="1" s="1"/>
  <c r="O35" i="1" s="1"/>
  <c r="M36" i="1"/>
  <c r="M37" i="1"/>
  <c r="N37" i="1" s="1"/>
  <c r="M38" i="1"/>
  <c r="M39" i="1"/>
  <c r="N39" i="1" s="1"/>
  <c r="M40" i="1"/>
  <c r="N40" i="1"/>
  <c r="M43" i="1"/>
  <c r="N43" i="1" s="1"/>
  <c r="M44" i="1"/>
  <c r="N44" i="1" s="1"/>
  <c r="M45" i="1"/>
  <c r="N45" i="1" s="1"/>
  <c r="M46" i="1"/>
  <c r="N46" i="1" s="1"/>
  <c r="M47" i="1"/>
  <c r="N47" i="1" s="1"/>
  <c r="M48" i="1"/>
  <c r="N48" i="1" s="1"/>
  <c r="M49" i="1"/>
  <c r="N49" i="1" s="1"/>
  <c r="M50" i="1"/>
  <c r="M51" i="1"/>
  <c r="N51" i="1" s="1"/>
  <c r="M52" i="1"/>
  <c r="N52" i="1"/>
  <c r="O52" i="1" s="1"/>
  <c r="M53" i="1"/>
  <c r="N53" i="1" s="1"/>
  <c r="M54" i="1"/>
  <c r="M55" i="1"/>
  <c r="M56" i="1"/>
  <c r="N56" i="1" s="1"/>
  <c r="M57" i="1"/>
  <c r="N57" i="1" s="1"/>
  <c r="O57" i="1" s="1"/>
  <c r="M58" i="1"/>
  <c r="M59" i="1"/>
  <c r="N59" i="1" s="1"/>
  <c r="M60" i="1"/>
  <c r="N60" i="1" s="1"/>
  <c r="O60" i="1" s="1"/>
  <c r="M61" i="1"/>
  <c r="N61" i="1" s="1"/>
  <c r="M62" i="1"/>
  <c r="M63" i="1"/>
  <c r="M64" i="1"/>
  <c r="N64" i="1" s="1"/>
  <c r="M65" i="1"/>
  <c r="N65" i="1" s="1"/>
  <c r="O65" i="1" s="1"/>
  <c r="M66" i="1"/>
  <c r="M67" i="1"/>
  <c r="N67" i="1" s="1"/>
  <c r="M68" i="1"/>
  <c r="N68" i="1" s="1"/>
  <c r="O68" i="1" s="1"/>
  <c r="M69" i="1"/>
  <c r="N69" i="1" s="1"/>
  <c r="M70" i="1"/>
  <c r="M71" i="1"/>
  <c r="M72" i="1"/>
  <c r="N72" i="1"/>
  <c r="O72" i="1" s="1"/>
  <c r="M73" i="1"/>
  <c r="N73" i="1" s="1"/>
  <c r="O73" i="1" s="1"/>
  <c r="M74" i="1"/>
  <c r="M75" i="1"/>
  <c r="N75" i="1" s="1"/>
  <c r="M77" i="1"/>
  <c r="N77" i="1" s="1"/>
  <c r="O77" i="1" s="1"/>
  <c r="M78" i="1"/>
  <c r="N78" i="1" s="1"/>
  <c r="M79" i="1"/>
  <c r="N79" i="1" s="1"/>
  <c r="M80" i="1"/>
  <c r="N80" i="1" s="1"/>
  <c r="O80" i="1" s="1"/>
  <c r="M81" i="1"/>
  <c r="N81" i="1" s="1"/>
  <c r="M82" i="1"/>
  <c r="N82" i="1" s="1"/>
  <c r="M83" i="1"/>
  <c r="M84" i="1"/>
  <c r="M85" i="1"/>
  <c r="N85" i="1" s="1"/>
  <c r="O85" i="1" s="1"/>
  <c r="M86" i="1"/>
  <c r="N86" i="1" s="1"/>
  <c r="M87" i="1"/>
  <c r="N87" i="1" s="1"/>
  <c r="M88" i="1"/>
  <c r="N88" i="1" s="1"/>
  <c r="M89" i="1"/>
  <c r="N89" i="1" s="1"/>
  <c r="O89" i="1" s="1"/>
  <c r="M90" i="1"/>
  <c r="N90" i="1" s="1"/>
  <c r="M91" i="1"/>
  <c r="N91" i="1" s="1"/>
  <c r="O91" i="1" s="1"/>
  <c r="M92" i="1"/>
  <c r="N92" i="1" s="1"/>
  <c r="M93" i="1"/>
  <c r="N93" i="1" s="1"/>
  <c r="M94" i="1"/>
  <c r="N94" i="1" s="1"/>
  <c r="M95" i="1"/>
  <c r="M96" i="1"/>
  <c r="N96" i="1" s="1"/>
  <c r="M97" i="1"/>
  <c r="N97" i="1" s="1"/>
  <c r="O97" i="1" s="1"/>
  <c r="M98" i="1"/>
  <c r="N98" i="1" s="1"/>
  <c r="M99" i="1"/>
  <c r="N99" i="1" s="1"/>
  <c r="M100" i="1"/>
  <c r="N100" i="1" s="1"/>
  <c r="M101" i="1"/>
  <c r="N101" i="1" s="1"/>
  <c r="M102" i="1"/>
  <c r="N102" i="1" s="1"/>
  <c r="M103" i="1"/>
  <c r="M104" i="1"/>
  <c r="N104" i="1" s="1"/>
  <c r="M105" i="1"/>
  <c r="N105" i="1" s="1"/>
  <c r="O105" i="1" s="1"/>
  <c r="M106" i="1"/>
  <c r="N106" i="1" s="1"/>
  <c r="M107" i="1"/>
  <c r="N107" i="1" s="1"/>
  <c r="M108" i="1"/>
  <c r="N108" i="1" s="1"/>
  <c r="O108" i="1" s="1"/>
  <c r="M109" i="1"/>
  <c r="N109" i="1" s="1"/>
  <c r="M110" i="1"/>
  <c r="N110" i="1" s="1"/>
  <c r="O110" i="1" s="1"/>
  <c r="M111" i="1"/>
  <c r="N111" i="1" s="1"/>
  <c r="M112" i="1"/>
  <c r="N112" i="1" s="1"/>
  <c r="O112" i="1" s="1"/>
  <c r="M113" i="1"/>
  <c r="N113" i="1"/>
  <c r="M114" i="1"/>
  <c r="M115" i="1"/>
  <c r="N115" i="1" s="1"/>
  <c r="M117" i="1"/>
  <c r="N117" i="1" s="1"/>
  <c r="M118" i="1"/>
  <c r="M119" i="1"/>
  <c r="N119" i="1" s="1"/>
  <c r="O119" i="1" s="1"/>
  <c r="M120" i="1"/>
  <c r="N120" i="1" s="1"/>
  <c r="M121" i="1"/>
  <c r="N121" i="1"/>
  <c r="M122" i="1"/>
  <c r="N122" i="1" s="1"/>
  <c r="M123" i="1"/>
  <c r="M124" i="1"/>
  <c r="N124" i="1"/>
  <c r="M125" i="1"/>
  <c r="N125" i="1" s="1"/>
  <c r="O125" i="1" s="1"/>
  <c r="M126" i="1"/>
  <c r="N126" i="1" s="1"/>
  <c r="M127" i="1"/>
  <c r="N127" i="1" s="1"/>
  <c r="M128" i="1"/>
  <c r="N128" i="1" s="1"/>
  <c r="M129" i="1"/>
  <c r="N129" i="1"/>
  <c r="M130" i="1"/>
  <c r="M131" i="1"/>
  <c r="N131" i="1" s="1"/>
  <c r="M132" i="1"/>
  <c r="N132" i="1" s="1"/>
  <c r="O132" i="1" s="1"/>
  <c r="M133" i="1"/>
  <c r="N133" i="1" s="1"/>
  <c r="M134" i="1"/>
  <c r="N134" i="1" s="1"/>
  <c r="M135" i="1"/>
  <c r="N135" i="1" s="1"/>
  <c r="M136" i="1"/>
  <c r="M137" i="1"/>
  <c r="N137" i="1" s="1"/>
  <c r="M138" i="1"/>
  <c r="N138" i="1" s="1"/>
  <c r="O138" i="1" s="1"/>
  <c r="M139" i="1"/>
  <c r="N139" i="1" s="1"/>
  <c r="M140" i="1"/>
  <c r="N140" i="1" s="1"/>
  <c r="M141" i="1"/>
  <c r="N141" i="1" s="1"/>
  <c r="M142" i="1"/>
  <c r="M143" i="1"/>
  <c r="N143" i="1" s="1"/>
  <c r="M144" i="1"/>
  <c r="N144" i="1" s="1"/>
  <c r="O144" i="1" s="1"/>
  <c r="M145" i="1"/>
  <c r="N145" i="1" s="1"/>
  <c r="M146" i="1"/>
  <c r="M147" i="1"/>
  <c r="M148" i="1"/>
  <c r="N148" i="1" s="1"/>
  <c r="M149" i="1"/>
  <c r="N149" i="1" s="1"/>
  <c r="M150" i="1"/>
  <c r="N150" i="1" s="1"/>
  <c r="M151" i="1"/>
  <c r="N151" i="1" s="1"/>
  <c r="M152" i="1"/>
  <c r="N152" i="1"/>
  <c r="M153" i="1"/>
  <c r="M154" i="1"/>
  <c r="M155" i="1"/>
  <c r="N155" i="1" s="1"/>
  <c r="M156" i="1"/>
  <c r="M157" i="1"/>
  <c r="M158" i="1"/>
  <c r="N158" i="1"/>
  <c r="M159" i="1"/>
  <c r="N159" i="1" s="1"/>
  <c r="O159" i="1" s="1"/>
  <c r="M160" i="1"/>
  <c r="N160" i="1"/>
  <c r="M161" i="1"/>
  <c r="M162" i="1"/>
  <c r="N162" i="1" s="1"/>
  <c r="M163" i="1"/>
  <c r="N163" i="1" s="1"/>
  <c r="M164" i="1"/>
  <c r="N164" i="1" s="1"/>
  <c r="M165" i="1"/>
  <c r="M166" i="1"/>
  <c r="N166" i="1" s="1"/>
  <c r="M167" i="1"/>
  <c r="N167" i="1" s="1"/>
  <c r="O167" i="1" s="1"/>
  <c r="M168" i="1"/>
  <c r="N168" i="1" s="1"/>
  <c r="M169" i="1"/>
  <c r="N169" i="1" s="1"/>
  <c r="M170" i="1"/>
  <c r="N170" i="1" s="1"/>
  <c r="M171" i="1"/>
  <c r="N171" i="1" s="1"/>
  <c r="M172" i="1"/>
  <c r="N172" i="1" s="1"/>
  <c r="M173" i="1"/>
  <c r="N173" i="1" s="1"/>
  <c r="M174" i="1"/>
  <c r="N174" i="1"/>
  <c r="O174" i="1" s="1"/>
  <c r="M175" i="1"/>
  <c r="N175" i="1" s="1"/>
  <c r="O175" i="1" s="1"/>
  <c r="M176" i="1"/>
  <c r="N176" i="1" s="1"/>
  <c r="M177" i="1"/>
  <c r="N177" i="1" s="1"/>
  <c r="M178" i="1"/>
  <c r="N178" i="1" s="1"/>
  <c r="O178" i="1" s="1"/>
  <c r="M179" i="1"/>
  <c r="N179" i="1" s="1"/>
  <c r="M180" i="1"/>
  <c r="M181" i="1"/>
  <c r="N181" i="1" s="1"/>
  <c r="M182" i="1"/>
  <c r="N182" i="1" s="1"/>
  <c r="M183" i="1"/>
  <c r="N183" i="1" s="1"/>
  <c r="M184" i="1"/>
  <c r="N184" i="1" s="1"/>
  <c r="M185" i="1"/>
  <c r="N185" i="1" s="1"/>
  <c r="O185" i="1"/>
  <c r="M186" i="1"/>
  <c r="N186" i="1" s="1"/>
  <c r="M187" i="1"/>
  <c r="N187" i="1" s="1"/>
  <c r="M188" i="1"/>
  <c r="N188" i="1" s="1"/>
  <c r="M189" i="1"/>
  <c r="N189" i="1" s="1"/>
  <c r="M190" i="1"/>
  <c r="N190" i="1" s="1"/>
  <c r="O190" i="1" s="1"/>
  <c r="M2" i="1"/>
  <c r="N2" i="1" s="1"/>
  <c r="O2" i="1" s="1"/>
  <c r="M3" i="1"/>
  <c r="N3" i="1" s="1"/>
  <c r="O3" i="1" s="1"/>
  <c r="M4" i="1"/>
  <c r="N4" i="1" s="1"/>
  <c r="M5" i="1"/>
  <c r="N5" i="1" s="1"/>
  <c r="M6" i="1"/>
  <c r="N6" i="1" s="1"/>
  <c r="O6" i="1" s="1"/>
  <c r="M8" i="1"/>
  <c r="N8" i="1" s="1"/>
  <c r="M9" i="1"/>
  <c r="M11" i="1"/>
  <c r="M17" i="1"/>
  <c r="N17" i="1" s="1"/>
  <c r="M41" i="1"/>
  <c r="N41" i="1" s="1"/>
  <c r="O41" i="1" s="1"/>
  <c r="M42" i="1"/>
  <c r="N42" i="1" s="1"/>
  <c r="O42" i="1" s="1"/>
  <c r="M76" i="1"/>
  <c r="M116" i="1"/>
  <c r="N116" i="1" s="1"/>
  <c r="O116" i="1" s="1"/>
  <c r="O168" i="1" l="1"/>
  <c r="O160" i="1"/>
  <c r="O152" i="1"/>
  <c r="O129" i="1"/>
  <c r="O99" i="1"/>
  <c r="O56" i="1"/>
  <c r="O40" i="1"/>
  <c r="O27" i="1"/>
  <c r="O189" i="1"/>
  <c r="O187" i="1"/>
  <c r="O179" i="1"/>
  <c r="O163" i="1"/>
  <c r="O148" i="1"/>
  <c r="O64" i="1"/>
  <c r="O49" i="1"/>
  <c r="O45" i="1"/>
  <c r="O38" i="1"/>
  <c r="O172" i="1"/>
  <c r="N156" i="1"/>
  <c r="O156" i="1" s="1"/>
  <c r="N38" i="1"/>
  <c r="N27" i="1"/>
  <c r="O164" i="1"/>
  <c r="O155" i="1"/>
  <c r="O151" i="1"/>
  <c r="O145" i="1"/>
  <c r="O128" i="1"/>
  <c r="O126" i="1"/>
  <c r="O88" i="1"/>
  <c r="O69" i="1"/>
  <c r="O61" i="1"/>
  <c r="O53" i="1"/>
  <c r="O48" i="1"/>
  <c r="O46" i="1"/>
  <c r="O31" i="1"/>
  <c r="O24" i="1"/>
  <c r="O22" i="1"/>
  <c r="O12" i="1"/>
  <c r="O176" i="1"/>
  <c r="O169" i="1"/>
  <c r="N84" i="1"/>
  <c r="O84" i="1" s="1"/>
  <c r="N71" i="1"/>
  <c r="O71" i="1" s="1"/>
  <c r="N63" i="1"/>
  <c r="O63" i="1" s="1"/>
  <c r="N55" i="1"/>
  <c r="O55" i="1" s="1"/>
  <c r="N33" i="1"/>
  <c r="O33" i="1" s="1"/>
  <c r="O173" i="1"/>
  <c r="O166" i="1"/>
  <c r="N153" i="1"/>
  <c r="O153" i="1" s="1"/>
  <c r="O150" i="1"/>
  <c r="N146" i="1"/>
  <c r="O146" i="1" s="1"/>
  <c r="O143" i="1"/>
  <c r="O137" i="1"/>
  <c r="O131" i="1"/>
  <c r="O124" i="1"/>
  <c r="O104" i="1"/>
  <c r="N83" i="1"/>
  <c r="O83" i="1" s="1"/>
  <c r="O75" i="1"/>
  <c r="N70" i="1"/>
  <c r="O70" i="1"/>
  <c r="O67" i="1"/>
  <c r="N62" i="1"/>
  <c r="O62" i="1"/>
  <c r="O59" i="1"/>
  <c r="N54" i="1"/>
  <c r="O54" i="1" s="1"/>
  <c r="O51" i="1"/>
  <c r="O44" i="1"/>
  <c r="N32" i="1"/>
  <c r="O32" i="1" s="1"/>
  <c r="O20" i="1"/>
  <c r="N13" i="1"/>
  <c r="O13" i="1" s="1"/>
  <c r="N157" i="1"/>
  <c r="O157" i="1" s="1"/>
  <c r="O183" i="1"/>
  <c r="N165" i="1"/>
  <c r="O165" i="1" s="1"/>
  <c r="O162" i="1"/>
  <c r="N142" i="1"/>
  <c r="O142" i="1"/>
  <c r="O140" i="1"/>
  <c r="N136" i="1"/>
  <c r="O136" i="1" s="1"/>
  <c r="O134" i="1"/>
  <c r="N130" i="1"/>
  <c r="O130" i="1" s="1"/>
  <c r="N123" i="1"/>
  <c r="O123" i="1" s="1"/>
  <c r="O121" i="1"/>
  <c r="N103" i="1"/>
  <c r="O103" i="1" s="1"/>
  <c r="O101" i="1"/>
  <c r="O87" i="1"/>
  <c r="N74" i="1"/>
  <c r="O74" i="1" s="1"/>
  <c r="N66" i="1"/>
  <c r="O66" i="1" s="1"/>
  <c r="N58" i="1"/>
  <c r="O58" i="1" s="1"/>
  <c r="N50" i="1"/>
  <c r="O50" i="1" s="1"/>
  <c r="N36" i="1"/>
  <c r="O36" i="1"/>
  <c r="O182" i="1"/>
  <c r="N180" i="1"/>
  <c r="O180" i="1" s="1"/>
  <c r="O170" i="1"/>
  <c r="N161" i="1"/>
  <c r="O161" i="1" s="1"/>
  <c r="O158" i="1"/>
  <c r="N154" i="1"/>
  <c r="O154" i="1" s="1"/>
  <c r="N147" i="1"/>
  <c r="O147" i="1" s="1"/>
  <c r="N118" i="1"/>
  <c r="O118" i="1" s="1"/>
  <c r="N114" i="1"/>
  <c r="O114" i="1"/>
  <c r="N95" i="1"/>
  <c r="O95" i="1" s="1"/>
  <c r="O93" i="1"/>
  <c r="N29" i="1"/>
  <c r="O29" i="1" s="1"/>
  <c r="O26" i="1"/>
  <c r="N7" i="1"/>
  <c r="O7" i="1" s="1"/>
  <c r="O117" i="1"/>
  <c r="N76" i="1"/>
  <c r="O76" i="1" s="1"/>
  <c r="N11" i="1"/>
  <c r="O11" i="1" s="1"/>
  <c r="N9" i="1"/>
  <c r="O9" i="1" s="1"/>
  <c r="G13" i="3"/>
  <c r="G14" i="3"/>
  <c r="G15" i="3"/>
  <c r="G16" i="3"/>
  <c r="G17" i="3"/>
  <c r="G18" i="3"/>
  <c r="G19" i="3"/>
  <c r="G20" i="3"/>
  <c r="G21" i="3"/>
  <c r="G22" i="3"/>
  <c r="G23" i="3"/>
  <c r="G24" i="3"/>
  <c r="G25" i="3"/>
  <c r="G26" i="3"/>
  <c r="G27" i="3"/>
  <c r="G28" i="3"/>
  <c r="G29" i="3"/>
  <c r="G30" i="3"/>
  <c r="G31" i="3"/>
  <c r="G33" i="3"/>
  <c r="G34" i="3"/>
  <c r="G35" i="3"/>
  <c r="G36" i="3"/>
  <c r="G37" i="3"/>
  <c r="G40" i="3"/>
  <c r="G41" i="3"/>
  <c r="G42" i="3"/>
  <c r="G43" i="3"/>
  <c r="G44" i="3"/>
  <c r="G45" i="3"/>
  <c r="G46" i="3"/>
  <c r="G47" i="3"/>
  <c r="G48" i="3"/>
  <c r="G49" i="3"/>
  <c r="G50" i="3"/>
  <c r="G51" i="3"/>
  <c r="G52" i="3"/>
  <c r="G53" i="3"/>
  <c r="G54" i="3"/>
  <c r="G55" i="3"/>
  <c r="G56"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5" i="3"/>
  <c r="G166" i="3"/>
  <c r="G167" i="3"/>
  <c r="G168" i="3"/>
  <c r="G169" i="3"/>
  <c r="G170" i="3"/>
  <c r="G171" i="3"/>
  <c r="G172" i="3"/>
  <c r="G174" i="3"/>
  <c r="G175" i="3"/>
  <c r="G176" i="3"/>
  <c r="G177" i="3"/>
  <c r="G178" i="3"/>
  <c r="G179" i="3"/>
  <c r="G180" i="3"/>
  <c r="G181" i="3"/>
  <c r="G182" i="3"/>
  <c r="G183" i="3"/>
  <c r="G184" i="3"/>
  <c r="G185" i="3"/>
  <c r="G186" i="3"/>
  <c r="G187" i="3"/>
  <c r="G188" i="3"/>
  <c r="G189" i="3"/>
  <c r="G190" i="3"/>
  <c r="G3" i="3"/>
  <c r="G4" i="3"/>
  <c r="G5" i="3"/>
  <c r="G6" i="3"/>
  <c r="G7" i="3"/>
  <c r="G8" i="3"/>
  <c r="G9" i="3"/>
  <c r="G12" i="3"/>
  <c r="G2" i="3"/>
</calcChain>
</file>

<file path=xl/sharedStrings.xml><?xml version="1.0" encoding="utf-8"?>
<sst xmlns="http://schemas.openxmlformats.org/spreadsheetml/2006/main" count="3526" uniqueCount="726">
  <si>
    <t xml:space="preserve">Customer ID </t>
  </si>
  <si>
    <t>Product ID</t>
  </si>
  <si>
    <t xml:space="preserve">Quantity </t>
  </si>
  <si>
    <t>Email</t>
  </si>
  <si>
    <t>Country</t>
  </si>
  <si>
    <t>Type</t>
  </si>
  <si>
    <t>Size</t>
  </si>
  <si>
    <t>Sales</t>
  </si>
  <si>
    <t xml:space="preserve">Order ID </t>
  </si>
  <si>
    <t>Order Data</t>
  </si>
  <si>
    <t>QEV-37451-860</t>
  </si>
  <si>
    <t>QEV-37451-888</t>
  </si>
  <si>
    <t>QEV-37451-889</t>
  </si>
  <si>
    <t>QEV-37451-890</t>
  </si>
  <si>
    <t>QEV-37451-891</t>
  </si>
  <si>
    <t>QEV-37451-892</t>
  </si>
  <si>
    <t>QEV-37451-893</t>
  </si>
  <si>
    <t>QEV-37451-894</t>
  </si>
  <si>
    <t>QEV-37451-895</t>
  </si>
  <si>
    <t>QEV-37451-896</t>
  </si>
  <si>
    <t>QEV-37451-897</t>
  </si>
  <si>
    <t>QEV-37451-898</t>
  </si>
  <si>
    <t>QEV-37451-899</t>
  </si>
  <si>
    <t>QEV-37451-900</t>
  </si>
  <si>
    <t>QEV-37451-901</t>
  </si>
  <si>
    <t>QEV-37451-902</t>
  </si>
  <si>
    <t>QEV-37451-903</t>
  </si>
  <si>
    <t>QEV-37451-904</t>
  </si>
  <si>
    <t>QEV-37451-905</t>
  </si>
  <si>
    <t>QEV-37451-906</t>
  </si>
  <si>
    <t>QEV-37451-907</t>
  </si>
  <si>
    <t>QEV-37451-908</t>
  </si>
  <si>
    <t>QEV-37451-909</t>
  </si>
  <si>
    <t>QEV-37451-910</t>
  </si>
  <si>
    <t>QEV-37451-911</t>
  </si>
  <si>
    <t>QEV-37451-912</t>
  </si>
  <si>
    <t>QEV-37451-913</t>
  </si>
  <si>
    <t>QEV-37451-914</t>
  </si>
  <si>
    <t>QEV-37451-915</t>
  </si>
  <si>
    <t>QEV-37451-916</t>
  </si>
  <si>
    <t>QEV-37451-917</t>
  </si>
  <si>
    <t>QEV-37451-918</t>
  </si>
  <si>
    <t>QEV-37451-919</t>
  </si>
  <si>
    <t>QEV-37451-920</t>
  </si>
  <si>
    <t>QEV-37451-921</t>
  </si>
  <si>
    <t>QEV-37451-922</t>
  </si>
  <si>
    <t>QEV-37451-923</t>
  </si>
  <si>
    <t>QEV-37451-924</t>
  </si>
  <si>
    <t>QEV-37451-925</t>
  </si>
  <si>
    <t>QEV-37451-926</t>
  </si>
  <si>
    <t>QEV-37451-927</t>
  </si>
  <si>
    <t>QEV-37451-928</t>
  </si>
  <si>
    <t>QEV-37451-929</t>
  </si>
  <si>
    <t>QEV-37451-930</t>
  </si>
  <si>
    <t>QEV-37451-931</t>
  </si>
  <si>
    <t>QEV-37451-932</t>
  </si>
  <si>
    <t>QEV-37451-933</t>
  </si>
  <si>
    <t>QEV-37451-934</t>
  </si>
  <si>
    <t>QEV-37451-935</t>
  </si>
  <si>
    <t>QEV-37451-936</t>
  </si>
  <si>
    <t>QEV-37452-860</t>
  </si>
  <si>
    <t>QEV-37453-861</t>
  </si>
  <si>
    <t>QEV-37454-862</t>
  </si>
  <si>
    <t>QEV-37455-863</t>
  </si>
  <si>
    <t>QEV-37456-864</t>
  </si>
  <si>
    <t>QEV-37458-866</t>
  </si>
  <si>
    <t>QEV-37459-867</t>
  </si>
  <si>
    <t>QEV-374560-868</t>
  </si>
  <si>
    <t>QEV-374561-869</t>
  </si>
  <si>
    <t>QEV-374562-870</t>
  </si>
  <si>
    <t>QEV-374563-871</t>
  </si>
  <si>
    <t>QEV-374564-872</t>
  </si>
  <si>
    <t>QEV-374565-873</t>
  </si>
  <si>
    <t>QEV-374566-874</t>
  </si>
  <si>
    <t>QEV-374567-875</t>
  </si>
  <si>
    <t>QEV-374568-876</t>
  </si>
  <si>
    <t>QEV-374569-877</t>
  </si>
  <si>
    <t>QEV-37470-878</t>
  </si>
  <si>
    <t>QEV-37471-879</t>
  </si>
  <si>
    <t>QEV-37472-880</t>
  </si>
  <si>
    <t>QEV-37473-881</t>
  </si>
  <si>
    <t>QEV-37474-882</t>
  </si>
  <si>
    <t>QEV-37475-883</t>
  </si>
  <si>
    <t>QEV-37476-884</t>
  </si>
  <si>
    <t>QEV-37477-885</t>
  </si>
  <si>
    <t>QEV-37478-886</t>
  </si>
  <si>
    <t>QEV-37479-887</t>
  </si>
  <si>
    <t>QEV-37451-937</t>
  </si>
  <si>
    <t>QEV-37451-938</t>
  </si>
  <si>
    <t>QEV-37451-939</t>
  </si>
  <si>
    <t>QEV-37451-940</t>
  </si>
  <si>
    <t>QEV-37451-941</t>
  </si>
  <si>
    <t>QEV-37451-942</t>
  </si>
  <si>
    <t>QEV-37451-943</t>
  </si>
  <si>
    <t>QEV-37451-944</t>
  </si>
  <si>
    <t>QEV-37451-945</t>
  </si>
  <si>
    <t>QEV-37451-946</t>
  </si>
  <si>
    <t>QEV-37451-947</t>
  </si>
  <si>
    <t>QEV-37451-948</t>
  </si>
  <si>
    <t>QEV-37451-949</t>
  </si>
  <si>
    <t>QEV-37451-950</t>
  </si>
  <si>
    <t>QEV-37451-951</t>
  </si>
  <si>
    <t>QEV-37451-952</t>
  </si>
  <si>
    <t>QEV-37451-953</t>
  </si>
  <si>
    <t>QEV-37451-954</t>
  </si>
  <si>
    <t>QEV-37451-955</t>
  </si>
  <si>
    <t>QEV-37451-956</t>
  </si>
  <si>
    <t>QEV-37451-957</t>
  </si>
  <si>
    <t>QEV-37451-958</t>
  </si>
  <si>
    <t>QEV-37451-959</t>
  </si>
  <si>
    <t>QEV-37451-960</t>
  </si>
  <si>
    <t>QEV-37451-961</t>
  </si>
  <si>
    <t>QEV-37451-962</t>
  </si>
  <si>
    <t>QEV-37451-963</t>
  </si>
  <si>
    <t>QEV-37451-964</t>
  </si>
  <si>
    <t>QEV-37451-965</t>
  </si>
  <si>
    <t>QEV-37451-966</t>
  </si>
  <si>
    <t>QEV-37451-967</t>
  </si>
  <si>
    <t>QEV-37451-968</t>
  </si>
  <si>
    <t>QEV-37451-969</t>
  </si>
  <si>
    <t>QEV-37451-970</t>
  </si>
  <si>
    <t>QEV-37451-971</t>
  </si>
  <si>
    <t>QEV-37451-972</t>
  </si>
  <si>
    <t>QEV-37451-973</t>
  </si>
  <si>
    <t>QEV-37451-974</t>
  </si>
  <si>
    <t>QEV-37451-975</t>
  </si>
  <si>
    <t>QEV-37451-976</t>
  </si>
  <si>
    <t>QEV-37451-977</t>
  </si>
  <si>
    <t>QEV-37451-978</t>
  </si>
  <si>
    <t>QEV-37451-979</t>
  </si>
  <si>
    <t>QEV-37451-980</t>
  </si>
  <si>
    <t>QEV-37451-981</t>
  </si>
  <si>
    <t>QEV-37451-982</t>
  </si>
  <si>
    <t>QEV-37451-983</t>
  </si>
  <si>
    <t>QEV-37451-984</t>
  </si>
  <si>
    <t>QEV-37451-985</t>
  </si>
  <si>
    <t>QEV-37451-986</t>
  </si>
  <si>
    <t>QEV-37451-987</t>
  </si>
  <si>
    <t>QEV-37451-988</t>
  </si>
  <si>
    <t>QEV-37451-989</t>
  </si>
  <si>
    <t>QEV-37451-990</t>
  </si>
  <si>
    <t>QEV-37451-991</t>
  </si>
  <si>
    <t>QEV-37451-992</t>
  </si>
  <si>
    <t>QEV-37451-993</t>
  </si>
  <si>
    <t>QEV-37451-994</t>
  </si>
  <si>
    <t>QEV-37451-995</t>
  </si>
  <si>
    <t>QEV-37451-996</t>
  </si>
  <si>
    <t>QEV-37451-997</t>
  </si>
  <si>
    <t>QEV-37451-998</t>
  </si>
  <si>
    <t>QEV-37451-999</t>
  </si>
  <si>
    <t>QEV-37451-1000</t>
  </si>
  <si>
    <t>QEV-37451-1001</t>
  </si>
  <si>
    <t>QEV-37451-1002</t>
  </si>
  <si>
    <t>QEV-37451-1003</t>
  </si>
  <si>
    <t>QEV-37451-1004</t>
  </si>
  <si>
    <t>QEV-37451-1005</t>
  </si>
  <si>
    <t>QEV-37451-1006</t>
  </si>
  <si>
    <t>QEV-37451-1007</t>
  </si>
  <si>
    <t>QEV-37451-1008</t>
  </si>
  <si>
    <t>QEV-37451-1009</t>
  </si>
  <si>
    <t>QEV-37451-1010</t>
  </si>
  <si>
    <t>QEV-37451-1011</t>
  </si>
  <si>
    <t>QEV-37451-1012</t>
  </si>
  <si>
    <t>QEV-37451-1013</t>
  </si>
  <si>
    <t>QEV-37451-1014</t>
  </si>
  <si>
    <t>QEV-37451-1015</t>
  </si>
  <si>
    <t>QEV-37451-1016</t>
  </si>
  <si>
    <t>QEV-37451-1017</t>
  </si>
  <si>
    <t>QEV-37451-1018</t>
  </si>
  <si>
    <t>QEV-37451-1019</t>
  </si>
  <si>
    <t>QEV-37451-1020</t>
  </si>
  <si>
    <t>QEV-37451-1021</t>
  </si>
  <si>
    <t>QEV-37451-1022</t>
  </si>
  <si>
    <t>QEV-37451-1023</t>
  </si>
  <si>
    <t>QEV-37451-1024</t>
  </si>
  <si>
    <t>QEV-37451-1025</t>
  </si>
  <si>
    <t>QEV-37451-1026</t>
  </si>
  <si>
    <t>QEV-37451-1027</t>
  </si>
  <si>
    <t>QEV-37451-1028</t>
  </si>
  <si>
    <t>QEV-37451-1029</t>
  </si>
  <si>
    <t>QEV-37451-1030</t>
  </si>
  <si>
    <t>QEV-37451-1031</t>
  </si>
  <si>
    <t>QEV-37451-1032</t>
  </si>
  <si>
    <t>QEV-37451-1033</t>
  </si>
  <si>
    <t>QEV-37451-1034</t>
  </si>
  <si>
    <t>QEV-37451-1035</t>
  </si>
  <si>
    <t>QEV-37451-1036</t>
  </si>
  <si>
    <t>QEV-37451-1037</t>
  </si>
  <si>
    <t>QEV-37451-1038</t>
  </si>
  <si>
    <t>QEV-37451-1039</t>
  </si>
  <si>
    <t>QEV-37451-1040</t>
  </si>
  <si>
    <t>QEV-37451-1041</t>
  </si>
  <si>
    <t>QEV-37451-1042</t>
  </si>
  <si>
    <t>QEV-37451-1043</t>
  </si>
  <si>
    <t>QEV-37451-1044</t>
  </si>
  <si>
    <t>QEV-37451-1045</t>
  </si>
  <si>
    <t>QEV-37451-1046</t>
  </si>
  <si>
    <t>QEV-37451-1047</t>
  </si>
  <si>
    <t>17671-51939-MA</t>
  </si>
  <si>
    <t>17672-51939-MA</t>
  </si>
  <si>
    <t>17673-51939-MA</t>
  </si>
  <si>
    <t>17674-51939-MA</t>
  </si>
  <si>
    <t>17675-51939-MA</t>
  </si>
  <si>
    <t>17676-51939-MA</t>
  </si>
  <si>
    <t>17677-51939-MA</t>
  </si>
  <si>
    <t>17678-51939-MA</t>
  </si>
  <si>
    <t>17679-51939-MA</t>
  </si>
  <si>
    <t>17680-51939-MA</t>
  </si>
  <si>
    <t>17681-51939-MA</t>
  </si>
  <si>
    <t>17682-51939-MA</t>
  </si>
  <si>
    <t>17683-51939-MA</t>
  </si>
  <si>
    <t>17684-51939-MA</t>
  </si>
  <si>
    <t>17685-51939-MA</t>
  </si>
  <si>
    <t>17687-51939-MA</t>
  </si>
  <si>
    <t>17686-51939-MA</t>
  </si>
  <si>
    <t>17688-51939-MA</t>
  </si>
  <si>
    <t>17689-51939-MA</t>
  </si>
  <si>
    <t>17690-51939-MA</t>
  </si>
  <si>
    <t>17691-51939-MA</t>
  </si>
  <si>
    <t>17670921939-MA</t>
  </si>
  <si>
    <t>17693-51939-MA</t>
  </si>
  <si>
    <t>17694-51939-MA</t>
  </si>
  <si>
    <t>17695-51939-MA</t>
  </si>
  <si>
    <t>17696-51939-MA</t>
  </si>
  <si>
    <t>17697-51939-MA</t>
  </si>
  <si>
    <t>17698-51939-MA</t>
  </si>
  <si>
    <t>17699-51939-MA</t>
  </si>
  <si>
    <t>17670-51939-NZ</t>
  </si>
  <si>
    <t>17670-51939-ME</t>
  </si>
  <si>
    <t>17670-51940-ME</t>
  </si>
  <si>
    <t>17670-51941-ME</t>
  </si>
  <si>
    <t>17670-51942-ME</t>
  </si>
  <si>
    <t>17670-51943-ME</t>
  </si>
  <si>
    <t>17670-51945-ME</t>
  </si>
  <si>
    <t>17670-51946-ME</t>
  </si>
  <si>
    <t>17670-51947-ME</t>
  </si>
  <si>
    <t>17670-51948-ME</t>
  </si>
  <si>
    <t>17670-51949-ME</t>
  </si>
  <si>
    <t>17670-51950-ME</t>
  </si>
  <si>
    <t>17670-51952-ME</t>
  </si>
  <si>
    <t>17670-51953-ME</t>
  </si>
  <si>
    <t>17670-51954-ME</t>
  </si>
  <si>
    <t>17670-51955-ME</t>
  </si>
  <si>
    <t>17670-51956-ME</t>
  </si>
  <si>
    <t>17670-51973-ME</t>
  </si>
  <si>
    <t>17670-51958-ME</t>
  </si>
  <si>
    <t>17670-51959-ME</t>
  </si>
  <si>
    <t>17670-51960-ME</t>
  </si>
  <si>
    <t>17670-51961-ME</t>
  </si>
  <si>
    <t>16820-62826-QW</t>
  </si>
  <si>
    <t>16820-62836-QW</t>
  </si>
  <si>
    <t>16820-62846-QW</t>
  </si>
  <si>
    <t>16820-62526-QW</t>
  </si>
  <si>
    <t>16820-62866-QW</t>
  </si>
  <si>
    <t>16820-62876-QW</t>
  </si>
  <si>
    <t>16820-62886-QW</t>
  </si>
  <si>
    <t>16820-62896-QW</t>
  </si>
  <si>
    <t>16820-62800-QW</t>
  </si>
  <si>
    <t>16820-62828-QW</t>
  </si>
  <si>
    <t>16820-62823-QW</t>
  </si>
  <si>
    <t>16820-62829-QW</t>
  </si>
  <si>
    <t>17383-76832-SD1</t>
  </si>
  <si>
    <t>17383-76832-SD2</t>
  </si>
  <si>
    <t>17383-76832-SD3</t>
  </si>
  <si>
    <t>17383-76832-SD4</t>
  </si>
  <si>
    <t>17383-76832-SD5</t>
  </si>
  <si>
    <t>17383-76832-SD6</t>
  </si>
  <si>
    <t>17383-76832-SD7</t>
  </si>
  <si>
    <t>17383-76832-SD8</t>
  </si>
  <si>
    <t>17383-76832-SD9</t>
  </si>
  <si>
    <t>17383-76832-SD10</t>
  </si>
  <si>
    <t>17383-76832-SD11</t>
  </si>
  <si>
    <t>17383-76832-SD12</t>
  </si>
  <si>
    <t>17383-76832-SD13</t>
  </si>
  <si>
    <t>17383-76832-SD14</t>
  </si>
  <si>
    <t>21539-63283-UT1</t>
  </si>
  <si>
    <t>21539-63283-UT2</t>
  </si>
  <si>
    <t>21539-63283-UT3</t>
  </si>
  <si>
    <t>21539-63283-UT4</t>
  </si>
  <si>
    <t>21539-63283-UT5</t>
  </si>
  <si>
    <t>21539-63283-UT6</t>
  </si>
  <si>
    <t>21539-63283-UT7</t>
  </si>
  <si>
    <t>21539-63283-UT8</t>
  </si>
  <si>
    <t>21539-63283-UT9</t>
  </si>
  <si>
    <t>21539-63283-UT10</t>
  </si>
  <si>
    <t>21539-63283-UT11</t>
  </si>
  <si>
    <t>21539-63283-UT12</t>
  </si>
  <si>
    <t>21539-63283-UT13</t>
  </si>
  <si>
    <t>21539-63283-UT14</t>
  </si>
  <si>
    <t>21539-63283-UT15</t>
  </si>
  <si>
    <t>21539-63283-UT16</t>
  </si>
  <si>
    <t>21539-63283-UT17</t>
  </si>
  <si>
    <t>21539-63283-UT18</t>
  </si>
  <si>
    <t>21539-63283-UT19</t>
  </si>
  <si>
    <t>21539-63283-UT20</t>
  </si>
  <si>
    <t>21539-63283-UT21</t>
  </si>
  <si>
    <t>21539-63283-UT22</t>
  </si>
  <si>
    <t>21539-63283-UT23</t>
  </si>
  <si>
    <t>21539-63283-UT24</t>
  </si>
  <si>
    <t>21539-63283-UT25</t>
  </si>
  <si>
    <t>21539-63283-UT26</t>
  </si>
  <si>
    <t>21539-63283-UT27</t>
  </si>
  <si>
    <t>21539-63283-UT28</t>
  </si>
  <si>
    <t>21539-63283-UT29</t>
  </si>
  <si>
    <t>21539-63283-UT30</t>
  </si>
  <si>
    <t>21539-63283-UT31</t>
  </si>
  <si>
    <t>21539-63283-UT32</t>
  </si>
  <si>
    <t>21539-63283-UT33</t>
  </si>
  <si>
    <t>21539-63283-UT34</t>
  </si>
  <si>
    <t>21539-63283-UT35</t>
  </si>
  <si>
    <t>21539-63283-UT36</t>
  </si>
  <si>
    <t>21539-63283-UT37</t>
  </si>
  <si>
    <t>21539-63283-UT38</t>
  </si>
  <si>
    <t>21539-63283-UT39</t>
  </si>
  <si>
    <t>21539-63283-UT40</t>
  </si>
  <si>
    <t>21539-63283-UT41</t>
  </si>
  <si>
    <t>21539-63283-UT42</t>
  </si>
  <si>
    <t>21539-63283-UT43</t>
  </si>
  <si>
    <t>21539-63283-UT44</t>
  </si>
  <si>
    <t>21539-63283-UT45</t>
  </si>
  <si>
    <t>21539-63283-UT46</t>
  </si>
  <si>
    <t>21539-63283-UT47</t>
  </si>
  <si>
    <t>21539-63283-UT48</t>
  </si>
  <si>
    <t>21539-63283-UT49</t>
  </si>
  <si>
    <t>21539-63283-UT50</t>
  </si>
  <si>
    <t>21539-63283-UT51</t>
  </si>
  <si>
    <t>21539-63283-UT52</t>
  </si>
  <si>
    <t>21539-63283-UT53</t>
  </si>
  <si>
    <t>21539-63283-UT54</t>
  </si>
  <si>
    <t>21539-63283-UT55</t>
  </si>
  <si>
    <t>21539-63283-UT56</t>
  </si>
  <si>
    <t>21539-63283-UT57</t>
  </si>
  <si>
    <t>21539-63283-UT58</t>
  </si>
  <si>
    <t>21539-63283-UT59</t>
  </si>
  <si>
    <t>21539-63283-UT60</t>
  </si>
  <si>
    <t>21539-63283-UT61</t>
  </si>
  <si>
    <t>21539-63283-UT62</t>
  </si>
  <si>
    <t>21539-63283-UT63</t>
  </si>
  <si>
    <t>21539-63283-UT64</t>
  </si>
  <si>
    <t>21539-63283-UT65</t>
  </si>
  <si>
    <t>21539-63283-UT66</t>
  </si>
  <si>
    <t>21539-63283-UT67</t>
  </si>
  <si>
    <t>21539-63283-UT68</t>
  </si>
  <si>
    <t>21539-63283-UT69</t>
  </si>
  <si>
    <t>21539-63283-UT70</t>
  </si>
  <si>
    <t>21539-63283-UT71</t>
  </si>
  <si>
    <t>21539-63283-UT72</t>
  </si>
  <si>
    <t>21539-63283-UT73</t>
  </si>
  <si>
    <t>21539-63283-UT74</t>
  </si>
  <si>
    <t>21539-63283-UT75</t>
  </si>
  <si>
    <t>21539-63283-UT76</t>
  </si>
  <si>
    <t>21539-63283-UT77</t>
  </si>
  <si>
    <t>21539-63283-UT78</t>
  </si>
  <si>
    <t>21539-63283-UT79</t>
  </si>
  <si>
    <t>21539-63283-UT80</t>
  </si>
  <si>
    <t>21539-63283-UT81</t>
  </si>
  <si>
    <t>21539-63283-UT82</t>
  </si>
  <si>
    <t>21539-63283-UT83</t>
  </si>
  <si>
    <t>21539-63283-UT84</t>
  </si>
  <si>
    <t>21539-63283-UT85</t>
  </si>
  <si>
    <t>21539-63283-UT86</t>
  </si>
  <si>
    <t>21539-63283-UT87</t>
  </si>
  <si>
    <t>21539-63283-UT88</t>
  </si>
  <si>
    <t>21539-63283-UT89</t>
  </si>
  <si>
    <t>21539-63283-UT90</t>
  </si>
  <si>
    <t>21539-63283-UT91</t>
  </si>
  <si>
    <t>21539-63283-UT92</t>
  </si>
  <si>
    <t>21539-63283-UT93</t>
  </si>
  <si>
    <t>21539-63283-UT94</t>
  </si>
  <si>
    <t>21539-63283-UT95</t>
  </si>
  <si>
    <t>21539-63283-UT96</t>
  </si>
  <si>
    <t>21539-63283-UT97</t>
  </si>
  <si>
    <t>21539-63283-UT98</t>
  </si>
  <si>
    <t>21539-63283-UT99</t>
  </si>
  <si>
    <t>21539-63283-UT100</t>
  </si>
  <si>
    <t>21539-63283-UT101</t>
  </si>
  <si>
    <t>21539-63283-UT102</t>
  </si>
  <si>
    <t>21539-63283-UT103</t>
  </si>
  <si>
    <t>21539-63283-UT104</t>
  </si>
  <si>
    <t>21539-63283-UT105</t>
  </si>
  <si>
    <t>21539-63283-UT106</t>
  </si>
  <si>
    <t>21539-63283-UT107</t>
  </si>
  <si>
    <t>21539-63283-UT108</t>
  </si>
  <si>
    <t>21539-63283-UT109</t>
  </si>
  <si>
    <t>21539-63283-UT110</t>
  </si>
  <si>
    <t>Phone</t>
  </si>
  <si>
    <t>AC</t>
  </si>
  <si>
    <t>Micro</t>
  </si>
  <si>
    <t>Laptop</t>
  </si>
  <si>
    <t>Computer</t>
  </si>
  <si>
    <t>phone</t>
  </si>
  <si>
    <t>Mouse</t>
  </si>
  <si>
    <t>Charger</t>
  </si>
  <si>
    <t>Pen</t>
  </si>
  <si>
    <t>Fan</t>
  </si>
  <si>
    <t>Camera</t>
  </si>
  <si>
    <t>Blub</t>
  </si>
  <si>
    <t>Washing Machine</t>
  </si>
  <si>
    <t>tv</t>
  </si>
  <si>
    <t xml:space="preserve">Product </t>
  </si>
  <si>
    <t>R-M-1</t>
  </si>
  <si>
    <t>QEV-37417-865</t>
  </si>
  <si>
    <t>R-M-3</t>
  </si>
  <si>
    <t>R-M-5</t>
  </si>
  <si>
    <t>H-T-9</t>
  </si>
  <si>
    <t>K-T-2</t>
  </si>
  <si>
    <t>Z-T-3</t>
  </si>
  <si>
    <t>B-N-9</t>
  </si>
  <si>
    <t>O-P-2</t>
  </si>
  <si>
    <t>L-W-7</t>
  </si>
  <si>
    <t>G-T-8</t>
  </si>
  <si>
    <t>R-J-4</t>
  </si>
  <si>
    <t>I-O-6</t>
  </si>
  <si>
    <t>I-O-2</t>
  </si>
  <si>
    <t>Customer Name</t>
  </si>
  <si>
    <t>Phone no.</t>
  </si>
  <si>
    <t>Adress line 1</t>
  </si>
  <si>
    <t>Postcode</t>
  </si>
  <si>
    <t>Loyality Card</t>
  </si>
  <si>
    <t>Zai</t>
  </si>
  <si>
    <t>Rose</t>
  </si>
  <si>
    <t>Lily</t>
  </si>
  <si>
    <t>Rean</t>
  </si>
  <si>
    <t>Fadi</t>
  </si>
  <si>
    <t>Snobr</t>
  </si>
  <si>
    <t>Robin</t>
  </si>
  <si>
    <t>Lone</t>
  </si>
  <si>
    <t>Ben</t>
  </si>
  <si>
    <t>Ten</t>
  </si>
  <si>
    <t xml:space="preserve">Iron </t>
  </si>
  <si>
    <t>Thor</t>
  </si>
  <si>
    <t>Shuzka</t>
  </si>
  <si>
    <t>Nobita</t>
  </si>
  <si>
    <t>Gian</t>
  </si>
  <si>
    <t>Sunio</t>
  </si>
  <si>
    <t>Dora</t>
  </si>
  <si>
    <t>Dorien</t>
  </si>
  <si>
    <t>Danyal</t>
  </si>
  <si>
    <t>Zaid</t>
  </si>
  <si>
    <t>Zawar</t>
  </si>
  <si>
    <t xml:space="preserve">Zeshan </t>
  </si>
  <si>
    <t>Mosa</t>
  </si>
  <si>
    <t>Arham</t>
  </si>
  <si>
    <t>Ahad</t>
  </si>
  <si>
    <t xml:space="preserve">Najam </t>
  </si>
  <si>
    <t xml:space="preserve">Rehman </t>
  </si>
  <si>
    <t>Daud</t>
  </si>
  <si>
    <t>Qamar</t>
  </si>
  <si>
    <t>Skinder</t>
  </si>
  <si>
    <t>Shahbaz</t>
  </si>
  <si>
    <t>Subhan</t>
  </si>
  <si>
    <t>Shan</t>
  </si>
  <si>
    <t>Roman</t>
  </si>
  <si>
    <t>Tayyab</t>
  </si>
  <si>
    <t>Kashif</t>
  </si>
  <si>
    <t>Ali</t>
  </si>
  <si>
    <t>Vivi</t>
  </si>
  <si>
    <t>Ahsan</t>
  </si>
  <si>
    <t>Ahad mir</t>
  </si>
  <si>
    <t xml:space="preserve">Sarmad </t>
  </si>
  <si>
    <t xml:space="preserve">Moin </t>
  </si>
  <si>
    <t>Sana</t>
  </si>
  <si>
    <t>Amna</t>
  </si>
  <si>
    <t>Juan</t>
  </si>
  <si>
    <t>Doug</t>
  </si>
  <si>
    <t>Charlie</t>
  </si>
  <si>
    <t>Helen</t>
  </si>
  <si>
    <t>Smith</t>
  </si>
  <si>
    <t>Hernandez</t>
  </si>
  <si>
    <t>Johnson</t>
  </si>
  <si>
    <t>Barnes</t>
  </si>
  <si>
    <t>Zoi</t>
  </si>
  <si>
    <t>Zuni</t>
  </si>
  <si>
    <t>Zahid</t>
  </si>
  <si>
    <t>Zahr</t>
  </si>
  <si>
    <t>Zht</t>
  </si>
  <si>
    <t>Zubair</t>
  </si>
  <si>
    <t>Ahsn</t>
  </si>
  <si>
    <t>Ameer</t>
  </si>
  <si>
    <t>Anas</t>
  </si>
  <si>
    <t>Artm</t>
  </si>
  <si>
    <t>Ahthsam</t>
  </si>
  <si>
    <t>Atheshma</t>
  </si>
  <si>
    <t>Razi</t>
  </si>
  <si>
    <t>Qut</t>
  </si>
  <si>
    <t>Quni</t>
  </si>
  <si>
    <t>Shot</t>
  </si>
  <si>
    <t>Sthoy</t>
  </si>
  <si>
    <t>Stokey</t>
  </si>
  <si>
    <t>dath</t>
  </si>
  <si>
    <t>Wood</t>
  </si>
  <si>
    <t>Arzoo</t>
  </si>
  <si>
    <t>Ansa</t>
  </si>
  <si>
    <t>Iqra</t>
  </si>
  <si>
    <t>Momina</t>
  </si>
  <si>
    <t>Khalil</t>
  </si>
  <si>
    <t>Tanveer</t>
  </si>
  <si>
    <t>Minha</t>
  </si>
  <si>
    <t>Minhal</t>
  </si>
  <si>
    <t>Aeman</t>
  </si>
  <si>
    <t>Afifa</t>
  </si>
  <si>
    <t>Aliza</t>
  </si>
  <si>
    <t>Anzeela</t>
  </si>
  <si>
    <t>Anaya</t>
  </si>
  <si>
    <t>Arooj</t>
  </si>
  <si>
    <t>Hassan</t>
  </si>
  <si>
    <t>Shban</t>
  </si>
  <si>
    <t>Dar</t>
  </si>
  <si>
    <t>Shifiq</t>
  </si>
  <si>
    <t>Usman</t>
  </si>
  <si>
    <t>Hina</t>
  </si>
  <si>
    <t>Zaniab</t>
  </si>
  <si>
    <t>Nouman</t>
  </si>
  <si>
    <t>Fhad</t>
  </si>
  <si>
    <t>zai12@gmail.com</t>
  </si>
  <si>
    <t>rose72@gmail.com</t>
  </si>
  <si>
    <t>lily23@gmail.com</t>
  </si>
  <si>
    <t>rean8@gmail.com</t>
  </si>
  <si>
    <t>fadio3@gmail.com</t>
  </si>
  <si>
    <t>snobr@gmail.com</t>
  </si>
  <si>
    <t>rbion@gmail.com</t>
  </si>
  <si>
    <t>lone@gmail.com</t>
  </si>
  <si>
    <t>ben5@gmail.com</t>
  </si>
  <si>
    <t>ten78@gmail.com</t>
  </si>
  <si>
    <t>iron9@gmail.com</t>
  </si>
  <si>
    <t>thor56@gmail.com</t>
  </si>
  <si>
    <t>shuziii@gmail.com</t>
  </si>
  <si>
    <t>nobbiii@gmail.com</t>
  </si>
  <si>
    <t>gian67@gmail.com</t>
  </si>
  <si>
    <t>suniooo@gmail.com</t>
  </si>
  <si>
    <t>dora8@gmail.com</t>
  </si>
  <si>
    <t>dorieee@gmail.com</t>
  </si>
  <si>
    <t>danyal@gmail.com</t>
  </si>
  <si>
    <t>zaid@gmail.com</t>
  </si>
  <si>
    <t>zawar@gmail.com</t>
  </si>
  <si>
    <t>zehan@gmail.com</t>
  </si>
  <si>
    <t>mosa@gmail.com</t>
  </si>
  <si>
    <t>arham@gmail.com</t>
  </si>
  <si>
    <t>ahad67@gmail.com</t>
  </si>
  <si>
    <t>najam@gmail.com</t>
  </si>
  <si>
    <t>rehman@gmail.com</t>
  </si>
  <si>
    <t>daud@gmail.com</t>
  </si>
  <si>
    <t>qamar@gmail.com</t>
  </si>
  <si>
    <t>skinder@gmail.com</t>
  </si>
  <si>
    <t>shahbaz@gmail.com</t>
  </si>
  <si>
    <t>danyal009@gmail.com</t>
  </si>
  <si>
    <t>subna@gmail.com</t>
  </si>
  <si>
    <t>shan00@gmail.com</t>
  </si>
  <si>
    <t>roman@gmail.com</t>
  </si>
  <si>
    <t>trayyab@gmail.com</t>
  </si>
  <si>
    <t>kashif@gmail.com</t>
  </si>
  <si>
    <t>ali990@gmail.com</t>
  </si>
  <si>
    <t>vivi90090@gmail.com</t>
  </si>
  <si>
    <t>ahsna@gmail.com</t>
  </si>
  <si>
    <t>ahadm09@gmail.com</t>
  </si>
  <si>
    <t>sarmad34@gmail.com</t>
  </si>
  <si>
    <t>moin32@gmail.com</t>
  </si>
  <si>
    <t>sana56@gmail.com</t>
  </si>
  <si>
    <t>juan56@gmail.com</t>
  </si>
  <si>
    <t>doug56@gmail.com</t>
  </si>
  <si>
    <t>charlie56@gmail.com</t>
  </si>
  <si>
    <t>amna56@gmail.com</t>
  </si>
  <si>
    <t>helen56@gmail.com</t>
  </si>
  <si>
    <t>smith56@gmail.com</t>
  </si>
  <si>
    <t>hernandez56@gmail.com</t>
  </si>
  <si>
    <t>johnson56@gmail.com</t>
  </si>
  <si>
    <t>barnes56@gmail.com</t>
  </si>
  <si>
    <t>zai56@gmail.com</t>
  </si>
  <si>
    <t>rose56@gmail.com</t>
  </si>
  <si>
    <t>lily56@gmail.com</t>
  </si>
  <si>
    <t>rean56@gmail.com</t>
  </si>
  <si>
    <t>fadi56@gmail.com</t>
  </si>
  <si>
    <t>snobr56@gmail.com</t>
  </si>
  <si>
    <t>robin56@gmail.com</t>
  </si>
  <si>
    <t>lone56@gmail.com</t>
  </si>
  <si>
    <t>ben56@gmail.com</t>
  </si>
  <si>
    <t>ten56@gmail.com</t>
  </si>
  <si>
    <t>iron56@gmail.com</t>
  </si>
  <si>
    <t>shuzka56@gmail.com</t>
  </si>
  <si>
    <t>nobita56@gmail.com</t>
  </si>
  <si>
    <t>gian56@gmail.com</t>
  </si>
  <si>
    <t>sunio56@gmail.com</t>
  </si>
  <si>
    <t>dora56@gmail.com</t>
  </si>
  <si>
    <t>dorien56@gmail.com</t>
  </si>
  <si>
    <t>danyal56@gmail.com</t>
  </si>
  <si>
    <t>zaid56@gmail.com</t>
  </si>
  <si>
    <t>zawar56@gmail.com</t>
  </si>
  <si>
    <t>zeshan56@gmail.com</t>
  </si>
  <si>
    <t>mosa56@gmail.com</t>
  </si>
  <si>
    <t>arham56@gmail.com</t>
  </si>
  <si>
    <t>ahad56@gmail.com</t>
  </si>
  <si>
    <t>najam56@gmail.com</t>
  </si>
  <si>
    <t>rehman56@gmail.com</t>
  </si>
  <si>
    <t>daud56@gmail.com</t>
  </si>
  <si>
    <t>qamar56@gmail.com</t>
  </si>
  <si>
    <t>skinder56@gmail.com</t>
  </si>
  <si>
    <t>shahbaz56@gmail.com</t>
  </si>
  <si>
    <t>subhan56@gmail.com</t>
  </si>
  <si>
    <t>shan56@gmail.com</t>
  </si>
  <si>
    <t>roman56@gmail.com</t>
  </si>
  <si>
    <t>tayyab56@gmail.com</t>
  </si>
  <si>
    <t>kashif56@gmail.com</t>
  </si>
  <si>
    <t>ali56@gmail.com</t>
  </si>
  <si>
    <t>vivi56@gmail.com</t>
  </si>
  <si>
    <t>ahsan56@gmail.com</t>
  </si>
  <si>
    <t>ahad mir56@gmail.com</t>
  </si>
  <si>
    <t>sarmad56@gmail.com</t>
  </si>
  <si>
    <t>moin56@gmail.com</t>
  </si>
  <si>
    <t>zoi56@gmail.com</t>
  </si>
  <si>
    <t>zuni56@gmail.com</t>
  </si>
  <si>
    <t>zahid56@gmail.com</t>
  </si>
  <si>
    <t>zahr56@gmail.com</t>
  </si>
  <si>
    <t>zht56@gmail.com</t>
  </si>
  <si>
    <t>zubair56@gmail.com</t>
  </si>
  <si>
    <t>ahsn56@gmail.com</t>
  </si>
  <si>
    <t>ameer56@gmail.com</t>
  </si>
  <si>
    <t>anas56@gmail.com</t>
  </si>
  <si>
    <t>artm56@gmail.com</t>
  </si>
  <si>
    <t>ahthsam56@gmail.com</t>
  </si>
  <si>
    <t>atheshma56@gmail.com</t>
  </si>
  <si>
    <t>razi56@gmail.com</t>
  </si>
  <si>
    <t>qut56@gmail.com</t>
  </si>
  <si>
    <t>quni56@gmail.com</t>
  </si>
  <si>
    <t>shot56@gmail.com</t>
  </si>
  <si>
    <t>sthoy56@gmail.com</t>
  </si>
  <si>
    <t>stokey56@gmail.com</t>
  </si>
  <si>
    <t>dath56@gmail.com</t>
  </si>
  <si>
    <t>wood56@gmail.com</t>
  </si>
  <si>
    <t>arzoo56@gmail.com</t>
  </si>
  <si>
    <t>ansa56@gmail.com</t>
  </si>
  <si>
    <t>iqra56@gmail.com</t>
  </si>
  <si>
    <t>momina56@gmail.com</t>
  </si>
  <si>
    <t>khalil56@gmail.com</t>
  </si>
  <si>
    <t>tanveer56@gmail.com</t>
  </si>
  <si>
    <t>minha56@gmail.com</t>
  </si>
  <si>
    <t>minhal56@gmail.com</t>
  </si>
  <si>
    <t>aeman56@gmail.com</t>
  </si>
  <si>
    <t>afifa56@gmail.com</t>
  </si>
  <si>
    <t>aliza56@gmail.com</t>
  </si>
  <si>
    <t>anzeela56@gmail.com</t>
  </si>
  <si>
    <t>anaya56@gmail.com</t>
  </si>
  <si>
    <t>arooj56@gmail.com</t>
  </si>
  <si>
    <t>hassan56@gmail.com</t>
  </si>
  <si>
    <t>shban56@gmail.com</t>
  </si>
  <si>
    <t>dar56@gmail.com</t>
  </si>
  <si>
    <t>shifiq56@gmail.com</t>
  </si>
  <si>
    <t>usman56@gmail.com</t>
  </si>
  <si>
    <t>hina56@gmail.com</t>
  </si>
  <si>
    <t>zaniab56@gmail.com</t>
  </si>
  <si>
    <t>nouman56@gmail.com</t>
  </si>
  <si>
    <t>fhad56@gmail.com</t>
  </si>
  <si>
    <t>sector7 house no9</t>
  </si>
  <si>
    <t xml:space="preserve">flat8 bulding 8 dc road </t>
  </si>
  <si>
    <t>bulding near D-mart</t>
  </si>
  <si>
    <t>hall city road 2-4</t>
  </si>
  <si>
    <t>mmu road 9-62D</t>
  </si>
  <si>
    <t>95-b iceland</t>
  </si>
  <si>
    <t>5U-9D london</t>
  </si>
  <si>
    <t>9MMhall free canada</t>
  </si>
  <si>
    <t>R7-3Dwales</t>
  </si>
  <si>
    <t xml:space="preserve">street road germany </t>
  </si>
  <si>
    <t>TYF-89-italy</t>
  </si>
  <si>
    <t>street 78-flat9 dubi</t>
  </si>
  <si>
    <t>uk</t>
  </si>
  <si>
    <t>Germany</t>
  </si>
  <si>
    <t>UK</t>
  </si>
  <si>
    <t>Italy</t>
  </si>
  <si>
    <t>Canada</t>
  </si>
  <si>
    <t>Dubi</t>
  </si>
  <si>
    <t>Iceland</t>
  </si>
  <si>
    <t>Pakistan</t>
  </si>
  <si>
    <t>Yes</t>
  </si>
  <si>
    <t>NO</t>
  </si>
  <si>
    <t>product type</t>
  </si>
  <si>
    <t>unit price</t>
  </si>
  <si>
    <t>profit</t>
  </si>
  <si>
    <t>loss</t>
  </si>
  <si>
    <t xml:space="preserve">AC Machine </t>
  </si>
  <si>
    <t>DC Machine</t>
  </si>
  <si>
    <t>Price</t>
  </si>
  <si>
    <t>Shop price</t>
  </si>
  <si>
    <t>Small</t>
  </si>
  <si>
    <t xml:space="preserve">2 unit </t>
  </si>
  <si>
    <t>1 unit</t>
  </si>
  <si>
    <t>Ipone</t>
  </si>
  <si>
    <t>Core i5</t>
  </si>
  <si>
    <t>Samsung</t>
  </si>
  <si>
    <t>2 Watt</t>
  </si>
  <si>
    <t>Android</t>
  </si>
  <si>
    <t>Digital</t>
  </si>
  <si>
    <t>Balpoint</t>
  </si>
  <si>
    <t>Remote</t>
  </si>
  <si>
    <t>Automatic</t>
  </si>
  <si>
    <t>20 watt</t>
  </si>
  <si>
    <t xml:space="preserve">2 Ton </t>
  </si>
  <si>
    <t xml:space="preserve">3 Ton </t>
  </si>
  <si>
    <t>full size</t>
  </si>
  <si>
    <t>cable</t>
  </si>
  <si>
    <t>Electronic</t>
  </si>
  <si>
    <t>Japan Electronic</t>
  </si>
  <si>
    <t xml:space="preserve">Exported </t>
  </si>
  <si>
    <t xml:space="preserve">Germany </t>
  </si>
  <si>
    <t xml:space="preserve">Imported </t>
  </si>
  <si>
    <t>Grand Total</t>
  </si>
  <si>
    <t>2019</t>
  </si>
  <si>
    <t>2020</t>
  </si>
  <si>
    <t>2021</t>
  </si>
  <si>
    <t>2022</t>
  </si>
  <si>
    <t>2023</t>
  </si>
  <si>
    <t>2024</t>
  </si>
  <si>
    <t>2025</t>
  </si>
  <si>
    <t>Sep</t>
  </si>
  <si>
    <t>Oct</t>
  </si>
  <si>
    <t>Nov</t>
  </si>
  <si>
    <t>Dec</t>
  </si>
  <si>
    <t>Jan</t>
  </si>
  <si>
    <t>Feb</t>
  </si>
  <si>
    <t>Mar</t>
  </si>
  <si>
    <t>Years</t>
  </si>
  <si>
    <t>Sum of Sales</t>
  </si>
  <si>
    <t xml:space="preserve">Loyality card </t>
  </si>
  <si>
    <t>Apr</t>
  </si>
  <si>
    <t>May</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</si>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</sst>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14" fontId="0" fillId="0" borderId="0" xfId="0" applyNumberFormat="1"/>
    <xf numFmtId="0" fontId="1" fillId="0" borderId="0" xfId="1"/>
    <xf numFmtId="0" fontId="0" fillId="0" borderId="0" xfId="0" pivotButton="1"/>
    <xf numFmtId="0" fontId="0" fillId="0" borderId="0" xfId="0" applyNumberFormat="1"/>
  </cellXfs>
  <cellStyles count="2">
    <cellStyle name="Hyperlink" xfId="1" builtinId="8"/>
    <cellStyle name="Normal" xfId="0" builtinId="0"/>
  </cellStyles>
  <dxfs count="5">
    <dxf>
      <numFmt numFmtId="19" formatCode="dd/mm/yyyy"/>
    </dxf>
    <dxf>
      <font>
        <sz val="11"/>
        <color theme="0"/>
        <name val="Calibri"/>
        <scheme val="minor"/>
      </font>
    </dxf>
    <dxf>
      <font>
        <b/>
        <i val="0"/>
        <sz val="12"/>
        <color theme="1" tint="4.9989318521683403E-2"/>
        <name val="Calibri"/>
        <scheme val="minor"/>
      </font>
      <fill>
        <patternFill patternType="solid">
          <fgColor theme="0"/>
          <bgColor theme="1" tint="0.34998626667073579"/>
        </patternFill>
      </fill>
      <border>
        <left style="thin">
          <color theme="0" tint="-0.499984740745262"/>
        </left>
        <right style="thin">
          <color theme="0" tint="-0.499984740745262"/>
        </right>
        <top style="thin">
          <color theme="0" tint="-0.499984740745262"/>
        </top>
        <bottom style="thin">
          <color theme="0" tint="-0.499984740745262"/>
        </bottom>
      </border>
    </dxf>
    <dxf>
      <font>
        <b/>
        <i val="0"/>
        <sz val="18"/>
        <name val="Calibri"/>
        <scheme val="minor"/>
      </font>
    </dxf>
    <dxf>
      <font>
        <b/>
        <i val="0"/>
        <sz val="16"/>
        <name val="Calibri"/>
        <scheme val="minor"/>
      </font>
      <fill>
        <patternFill>
          <bgColor theme="0" tint="-0.24994659260841701"/>
        </patternFill>
      </fill>
      <border>
        <left style="thin">
          <color auto="1"/>
        </left>
        <right style="thin">
          <color auto="1"/>
        </right>
        <top style="thin">
          <color auto="1"/>
        </top>
        <bottom style="thin">
          <color auto="1"/>
        </bottom>
      </border>
    </dxf>
  </dxfs>
  <tableStyles count="3" defaultTableStyle="TableStyleMedium2" defaultPivotStyle="PivotStyleLight16">
    <tableStyle name="My slicer " pivot="0" table="0" count="0"/>
    <tableStyle name="Slicer Style 1" pivot="0" table="0" count="9">
      <tableStyleElement type="wholeTable" dxfId="4"/>
      <tableStyleElement type="headerRow" dxfId="3"/>
    </tableStyle>
    <tableStyle name="Timeline Style 1" pivot="0" table="0" count="8">
      <tableStyleElement type="wholeTable" dxfId="2"/>
      <tableStyleElement type="headerRow" dxfId="1"/>
    </tableStyle>
  </tableStyles>
  <colors>
    <mruColors>
      <color rgb="FFD4D1D4"/>
      <color rgb="FF72767B"/>
      <color rgb="FF797171"/>
      <color rgb="FF7D7A71"/>
      <color rgb="FF808080"/>
      <color rgb="FFB4B4B4"/>
    </mruColors>
  </colors>
  <extLst>
    <ext xmlns:x14="http://schemas.microsoft.com/office/spreadsheetml/2009/9/main" uri="{46F421CA-312F-682f-3DD2-61675219B42D}">
      <x14:dxfs count="7">
        <dxf>
          <font>
            <b val="0"/>
            <i val="0"/>
            <sz val="14"/>
            <name val="Calibri"/>
            <scheme val="minor"/>
          </font>
        </dxf>
        <dxf>
          <font>
            <b val="0"/>
            <i val="0"/>
            <sz val="14"/>
            <color theme="0"/>
            <name val="Calibri"/>
            <scheme val="minor"/>
          </font>
        </dxf>
        <dxf>
          <font>
            <b val="0"/>
            <i val="0"/>
            <sz val="14"/>
            <color theme="0"/>
            <name val="Calibri"/>
            <scheme val="minor"/>
          </font>
        </dxf>
        <dxf>
          <font>
            <b val="0"/>
            <i/>
            <sz val="14"/>
            <color theme="0"/>
            <name val="Calibri"/>
            <scheme val="minor"/>
          </font>
        </dxf>
        <dxf>
          <font>
            <b val="0"/>
            <i/>
            <sz val="12"/>
            <color theme="0"/>
            <name val="Calibri"/>
            <scheme val="minor"/>
          </font>
        </dxf>
        <dxf>
          <font>
            <b val="0"/>
            <i/>
            <sz val="14"/>
            <color theme="0"/>
            <name val="Calibri"/>
            <scheme val="minor"/>
          </font>
        </dxf>
        <dxf>
          <font>
            <b val="0"/>
            <i/>
            <sz val="14"/>
            <color theme="0"/>
            <name val="Calibri"/>
            <scheme val="minor"/>
          </font>
        </dxf>
      </x14:dxfs>
    </ext>
    <ext xmlns:x14="http://schemas.microsoft.com/office/spreadsheetml/2009/9/main" uri="{EB79DEF2-80B8-43e5-95BD-54CBDDF9020C}">
      <x14:slicerStyles defaultSlicerStyle="SlicerStyleLight1">
        <x14:slicerStyle name="My slicer "/>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2" tint="-0.24994659260841701"/>
            <name val="Calibri"/>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 Type="http://schemas.openxmlformats.org/officeDocument/2006/relationships/worksheet" Target="worksheets/sheet2.xml"/><Relationship Id="rId16" Type="http://schemas.microsoft.com/office/2007/relationships/slicerCache" Target="slicerCaches/slicerCache8.xml"/><Relationship Id="rId20" Type="http://schemas.microsoft.com/office/2011/relationships/timelineCache" Target="timelineCaches/timeline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sharedStrings" Target="sharedStrings.xml"/><Relationship Id="rId10" Type="http://schemas.microsoft.com/office/2007/relationships/slicerCache" Target="slicerCaches/slicerCache2.xml"/><Relationship Id="rId19" Type="http://schemas.microsoft.com/office/2011/relationships/timelineCache" Target="timelineCaches/timeline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shop.xlsx]Sheet3!PivotTable2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GB"/>
              <a:t>Total</a:t>
            </a:r>
            <a:r>
              <a:rPr lang="en-GB"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tx1">
                <a:lumMod val="95000"/>
                <a:lumOff val="5000"/>
              </a:schemeClr>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s>
    <c:plotArea>
      <c:layout/>
      <c:lineChart>
        <c:grouping val="stacked"/>
        <c:varyColors val="0"/>
        <c:ser>
          <c:idx val="0"/>
          <c:order val="0"/>
          <c:tx>
            <c:strRef>
              <c:f>Sheet3!$C$3:$C$4</c:f>
              <c:strCache>
                <c:ptCount val="1"/>
                <c:pt idx="0">
                  <c:v>Electronic</c:v>
                </c:pt>
              </c:strCache>
            </c:strRef>
          </c:tx>
          <c:spPr>
            <a:ln w="28575" cap="rnd">
              <a:solidFill>
                <a:schemeClr val="accent6">
                  <a:lumMod val="75000"/>
                </a:schemeClr>
              </a:solidFill>
              <a:round/>
            </a:ln>
            <a:effectLst/>
          </c:spPr>
          <c:marker>
            <c:symbol val="none"/>
          </c:marker>
          <c:cat>
            <c:multiLvlStrRef>
              <c:f>Sheet3!$A$5:$B$38</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Aug</c:v>
                  </c:pt>
                  <c:pt idx="16">
                    <c:v>Sep</c:v>
                  </c:pt>
                  <c:pt idx="17">
                    <c:v>Nov</c:v>
                  </c:pt>
                  <c:pt idx="18">
                    <c:v>Mar</c:v>
                  </c:pt>
                  <c:pt idx="19">
                    <c:v>Dec</c:v>
                  </c:pt>
                  <c:pt idx="20">
                    <c:v>Jan</c:v>
                  </c:pt>
                  <c:pt idx="21">
                    <c:v>Nov</c:v>
                  </c:pt>
                  <c:pt idx="22">
                    <c:v>Jan</c:v>
                  </c:pt>
                  <c:pt idx="23">
                    <c:v>May</c:v>
                  </c:pt>
                  <c:pt idx="24">
                    <c:v>Sep</c:v>
                  </c:pt>
                  <c:pt idx="25">
                    <c:v>Oct</c:v>
                  </c:pt>
                  <c:pt idx="26">
                    <c:v>Nov</c:v>
                  </c:pt>
                  <c:pt idx="27">
                    <c:v>Jan</c:v>
                  </c:pt>
                  <c:pt idx="28">
                    <c:v>Feb</c:v>
                  </c:pt>
                  <c:pt idx="29">
                    <c:v>Apr</c:v>
                  </c:pt>
                  <c:pt idx="30">
                    <c:v>Sep</c:v>
                  </c:pt>
                  <c:pt idx="31">
                    <c:v>Dec</c:v>
                  </c:pt>
                  <c:pt idx="32">
                    <c:v>Feb</c:v>
                  </c:pt>
                </c:lvl>
                <c:lvl>
                  <c:pt idx="0">
                    <c:v>2019</c:v>
                  </c:pt>
                  <c:pt idx="12">
                    <c:v>2020</c:v>
                  </c:pt>
                  <c:pt idx="18">
                    <c:v>2021</c:v>
                  </c:pt>
                  <c:pt idx="20">
                    <c:v>2022</c:v>
                  </c:pt>
                  <c:pt idx="22">
                    <c:v>2023</c:v>
                  </c:pt>
                  <c:pt idx="27">
                    <c:v>2024</c:v>
                  </c:pt>
                  <c:pt idx="32">
                    <c:v>2025</c:v>
                  </c:pt>
                </c:lvl>
              </c:multiLvlStrCache>
            </c:multiLvlStrRef>
          </c:cat>
          <c:val>
            <c:numRef>
              <c:f>Sheet3!$C$5:$C$38</c:f>
              <c:numCache>
                <c:formatCode>General</c:formatCode>
                <c:ptCount val="33"/>
                <c:pt idx="0">
                  <c:v>24</c:v>
                </c:pt>
                <c:pt idx="1">
                  <c:v>61</c:v>
                </c:pt>
                <c:pt idx="2">
                  <c:v>50</c:v>
                </c:pt>
                <c:pt idx="3">
                  <c:v>44</c:v>
                </c:pt>
                <c:pt idx="4">
                  <c:v>44</c:v>
                </c:pt>
                <c:pt idx="5">
                  <c:v>33</c:v>
                </c:pt>
                <c:pt idx="6">
                  <c:v>73</c:v>
                </c:pt>
                <c:pt idx="7">
                  <c:v>71</c:v>
                </c:pt>
                <c:pt idx="8">
                  <c:v>96</c:v>
                </c:pt>
                <c:pt idx="9">
                  <c:v>101</c:v>
                </c:pt>
                <c:pt idx="10">
                  <c:v>99</c:v>
                </c:pt>
                <c:pt idx="11">
                  <c:v>191</c:v>
                </c:pt>
                <c:pt idx="12">
                  <c:v>207</c:v>
                </c:pt>
                <c:pt idx="13">
                  <c:v>114</c:v>
                </c:pt>
                <c:pt idx="14">
                  <c:v>155</c:v>
                </c:pt>
                <c:pt idx="15">
                  <c:v>53</c:v>
                </c:pt>
                <c:pt idx="17">
                  <c:v>17</c:v>
                </c:pt>
                <c:pt idx="18">
                  <c:v>15</c:v>
                </c:pt>
                <c:pt idx="19">
                  <c:v>30</c:v>
                </c:pt>
                <c:pt idx="20">
                  <c:v>59</c:v>
                </c:pt>
                <c:pt idx="21">
                  <c:v>15</c:v>
                </c:pt>
                <c:pt idx="22">
                  <c:v>73</c:v>
                </c:pt>
                <c:pt idx="23">
                  <c:v>13</c:v>
                </c:pt>
                <c:pt idx="24">
                  <c:v>14</c:v>
                </c:pt>
                <c:pt idx="25">
                  <c:v>12</c:v>
                </c:pt>
                <c:pt idx="26">
                  <c:v>28</c:v>
                </c:pt>
                <c:pt idx="27">
                  <c:v>111</c:v>
                </c:pt>
                <c:pt idx="28">
                  <c:v>156</c:v>
                </c:pt>
                <c:pt idx="29">
                  <c:v>16</c:v>
                </c:pt>
                <c:pt idx="30">
                  <c:v>16</c:v>
                </c:pt>
                <c:pt idx="31">
                  <c:v>13</c:v>
                </c:pt>
                <c:pt idx="32">
                  <c:v>137</c:v>
                </c:pt>
              </c:numCache>
            </c:numRef>
          </c:val>
          <c:smooth val="0"/>
        </c:ser>
        <c:ser>
          <c:idx val="1"/>
          <c:order val="1"/>
          <c:tx>
            <c:strRef>
              <c:f>Sheet3!$D$3:$D$4</c:f>
              <c:strCache>
                <c:ptCount val="1"/>
                <c:pt idx="0">
                  <c:v>Exported </c:v>
                </c:pt>
              </c:strCache>
            </c:strRef>
          </c:tx>
          <c:spPr>
            <a:ln w="28575" cap="rnd">
              <a:solidFill>
                <a:schemeClr val="accent2"/>
              </a:solidFill>
              <a:round/>
            </a:ln>
            <a:effectLst/>
          </c:spPr>
          <c:marker>
            <c:symbol val="none"/>
          </c:marker>
          <c:cat>
            <c:multiLvlStrRef>
              <c:f>Sheet3!$A$5:$B$38</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Aug</c:v>
                  </c:pt>
                  <c:pt idx="16">
                    <c:v>Sep</c:v>
                  </c:pt>
                  <c:pt idx="17">
                    <c:v>Nov</c:v>
                  </c:pt>
                  <c:pt idx="18">
                    <c:v>Mar</c:v>
                  </c:pt>
                  <c:pt idx="19">
                    <c:v>Dec</c:v>
                  </c:pt>
                  <c:pt idx="20">
                    <c:v>Jan</c:v>
                  </c:pt>
                  <c:pt idx="21">
                    <c:v>Nov</c:v>
                  </c:pt>
                  <c:pt idx="22">
                    <c:v>Jan</c:v>
                  </c:pt>
                  <c:pt idx="23">
                    <c:v>May</c:v>
                  </c:pt>
                  <c:pt idx="24">
                    <c:v>Sep</c:v>
                  </c:pt>
                  <c:pt idx="25">
                    <c:v>Oct</c:v>
                  </c:pt>
                  <c:pt idx="26">
                    <c:v>Nov</c:v>
                  </c:pt>
                  <c:pt idx="27">
                    <c:v>Jan</c:v>
                  </c:pt>
                  <c:pt idx="28">
                    <c:v>Feb</c:v>
                  </c:pt>
                  <c:pt idx="29">
                    <c:v>Apr</c:v>
                  </c:pt>
                  <c:pt idx="30">
                    <c:v>Sep</c:v>
                  </c:pt>
                  <c:pt idx="31">
                    <c:v>Dec</c:v>
                  </c:pt>
                  <c:pt idx="32">
                    <c:v>Feb</c:v>
                  </c:pt>
                </c:lvl>
                <c:lvl>
                  <c:pt idx="0">
                    <c:v>2019</c:v>
                  </c:pt>
                  <c:pt idx="12">
                    <c:v>2020</c:v>
                  </c:pt>
                  <c:pt idx="18">
                    <c:v>2021</c:v>
                  </c:pt>
                  <c:pt idx="20">
                    <c:v>2022</c:v>
                  </c:pt>
                  <c:pt idx="22">
                    <c:v>2023</c:v>
                  </c:pt>
                  <c:pt idx="27">
                    <c:v>2024</c:v>
                  </c:pt>
                  <c:pt idx="32">
                    <c:v>2025</c:v>
                  </c:pt>
                </c:lvl>
              </c:multiLvlStrCache>
            </c:multiLvlStrRef>
          </c:cat>
          <c:val>
            <c:numRef>
              <c:f>Sheet3!$D$5:$D$38</c:f>
              <c:numCache>
                <c:formatCode>General</c:formatCode>
                <c:ptCount val="33"/>
                <c:pt idx="10">
                  <c:v>14</c:v>
                </c:pt>
                <c:pt idx="12">
                  <c:v>13</c:v>
                </c:pt>
              </c:numCache>
            </c:numRef>
          </c:val>
          <c:smooth val="0"/>
        </c:ser>
        <c:ser>
          <c:idx val="2"/>
          <c:order val="2"/>
          <c:tx>
            <c:strRef>
              <c:f>Sheet3!$E$3:$E$4</c:f>
              <c:strCache>
                <c:ptCount val="1"/>
                <c:pt idx="0">
                  <c:v>Germany </c:v>
                </c:pt>
              </c:strCache>
            </c:strRef>
          </c:tx>
          <c:spPr>
            <a:ln w="28575" cap="rnd">
              <a:solidFill>
                <a:schemeClr val="accent3"/>
              </a:solidFill>
              <a:round/>
            </a:ln>
            <a:effectLst/>
          </c:spPr>
          <c:marker>
            <c:symbol val="none"/>
          </c:marker>
          <c:cat>
            <c:multiLvlStrRef>
              <c:f>Sheet3!$A$5:$B$38</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Aug</c:v>
                  </c:pt>
                  <c:pt idx="16">
                    <c:v>Sep</c:v>
                  </c:pt>
                  <c:pt idx="17">
                    <c:v>Nov</c:v>
                  </c:pt>
                  <c:pt idx="18">
                    <c:v>Mar</c:v>
                  </c:pt>
                  <c:pt idx="19">
                    <c:v>Dec</c:v>
                  </c:pt>
                  <c:pt idx="20">
                    <c:v>Jan</c:v>
                  </c:pt>
                  <c:pt idx="21">
                    <c:v>Nov</c:v>
                  </c:pt>
                  <c:pt idx="22">
                    <c:v>Jan</c:v>
                  </c:pt>
                  <c:pt idx="23">
                    <c:v>May</c:v>
                  </c:pt>
                  <c:pt idx="24">
                    <c:v>Sep</c:v>
                  </c:pt>
                  <c:pt idx="25">
                    <c:v>Oct</c:v>
                  </c:pt>
                  <c:pt idx="26">
                    <c:v>Nov</c:v>
                  </c:pt>
                  <c:pt idx="27">
                    <c:v>Jan</c:v>
                  </c:pt>
                  <c:pt idx="28">
                    <c:v>Feb</c:v>
                  </c:pt>
                  <c:pt idx="29">
                    <c:v>Apr</c:v>
                  </c:pt>
                  <c:pt idx="30">
                    <c:v>Sep</c:v>
                  </c:pt>
                  <c:pt idx="31">
                    <c:v>Dec</c:v>
                  </c:pt>
                  <c:pt idx="32">
                    <c:v>Feb</c:v>
                  </c:pt>
                </c:lvl>
                <c:lvl>
                  <c:pt idx="0">
                    <c:v>2019</c:v>
                  </c:pt>
                  <c:pt idx="12">
                    <c:v>2020</c:v>
                  </c:pt>
                  <c:pt idx="18">
                    <c:v>2021</c:v>
                  </c:pt>
                  <c:pt idx="20">
                    <c:v>2022</c:v>
                  </c:pt>
                  <c:pt idx="22">
                    <c:v>2023</c:v>
                  </c:pt>
                  <c:pt idx="27">
                    <c:v>2024</c:v>
                  </c:pt>
                  <c:pt idx="32">
                    <c:v>2025</c:v>
                  </c:pt>
                </c:lvl>
              </c:multiLvlStrCache>
            </c:multiLvlStrRef>
          </c:cat>
          <c:val>
            <c:numRef>
              <c:f>Sheet3!$E$5:$E$38</c:f>
              <c:numCache>
                <c:formatCode>General</c:formatCode>
                <c:ptCount val="33"/>
                <c:pt idx="11">
                  <c:v>70</c:v>
                </c:pt>
              </c:numCache>
            </c:numRef>
          </c:val>
          <c:smooth val="0"/>
        </c:ser>
        <c:ser>
          <c:idx val="3"/>
          <c:order val="3"/>
          <c:tx>
            <c:strRef>
              <c:f>Sheet3!$F$3:$F$4</c:f>
              <c:strCache>
                <c:ptCount val="1"/>
                <c:pt idx="0">
                  <c:v>Japan Electronic</c:v>
                </c:pt>
              </c:strCache>
            </c:strRef>
          </c:tx>
          <c:spPr>
            <a:ln w="28575" cap="rnd">
              <a:solidFill>
                <a:schemeClr val="tx1">
                  <a:lumMod val="95000"/>
                  <a:lumOff val="5000"/>
                </a:schemeClr>
              </a:solidFill>
              <a:round/>
            </a:ln>
            <a:effectLst/>
          </c:spPr>
          <c:marker>
            <c:symbol val="none"/>
          </c:marker>
          <c:cat>
            <c:multiLvlStrRef>
              <c:f>Sheet3!$A$5:$B$38</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Aug</c:v>
                  </c:pt>
                  <c:pt idx="16">
                    <c:v>Sep</c:v>
                  </c:pt>
                  <c:pt idx="17">
                    <c:v>Nov</c:v>
                  </c:pt>
                  <c:pt idx="18">
                    <c:v>Mar</c:v>
                  </c:pt>
                  <c:pt idx="19">
                    <c:v>Dec</c:v>
                  </c:pt>
                  <c:pt idx="20">
                    <c:v>Jan</c:v>
                  </c:pt>
                  <c:pt idx="21">
                    <c:v>Nov</c:v>
                  </c:pt>
                  <c:pt idx="22">
                    <c:v>Jan</c:v>
                  </c:pt>
                  <c:pt idx="23">
                    <c:v>May</c:v>
                  </c:pt>
                  <c:pt idx="24">
                    <c:v>Sep</c:v>
                  </c:pt>
                  <c:pt idx="25">
                    <c:v>Oct</c:v>
                  </c:pt>
                  <c:pt idx="26">
                    <c:v>Nov</c:v>
                  </c:pt>
                  <c:pt idx="27">
                    <c:v>Jan</c:v>
                  </c:pt>
                  <c:pt idx="28">
                    <c:v>Feb</c:v>
                  </c:pt>
                  <c:pt idx="29">
                    <c:v>Apr</c:v>
                  </c:pt>
                  <c:pt idx="30">
                    <c:v>Sep</c:v>
                  </c:pt>
                  <c:pt idx="31">
                    <c:v>Dec</c:v>
                  </c:pt>
                  <c:pt idx="32">
                    <c:v>Feb</c:v>
                  </c:pt>
                </c:lvl>
                <c:lvl>
                  <c:pt idx="0">
                    <c:v>2019</c:v>
                  </c:pt>
                  <c:pt idx="12">
                    <c:v>2020</c:v>
                  </c:pt>
                  <c:pt idx="18">
                    <c:v>2021</c:v>
                  </c:pt>
                  <c:pt idx="20">
                    <c:v>2022</c:v>
                  </c:pt>
                  <c:pt idx="22">
                    <c:v>2023</c:v>
                  </c:pt>
                  <c:pt idx="27">
                    <c:v>2024</c:v>
                  </c:pt>
                  <c:pt idx="32">
                    <c:v>2025</c:v>
                  </c:pt>
                </c:lvl>
              </c:multiLvlStrCache>
            </c:multiLvlStrRef>
          </c:cat>
          <c:val>
            <c:numRef>
              <c:f>Sheet3!$F$5:$F$38</c:f>
              <c:numCache>
                <c:formatCode>General</c:formatCode>
                <c:ptCount val="33"/>
                <c:pt idx="0">
                  <c:v>37</c:v>
                </c:pt>
                <c:pt idx="3">
                  <c:v>36</c:v>
                </c:pt>
                <c:pt idx="4">
                  <c:v>27</c:v>
                </c:pt>
                <c:pt idx="5">
                  <c:v>12</c:v>
                </c:pt>
                <c:pt idx="7">
                  <c:v>13</c:v>
                </c:pt>
                <c:pt idx="8">
                  <c:v>47</c:v>
                </c:pt>
                <c:pt idx="9">
                  <c:v>16</c:v>
                </c:pt>
                <c:pt idx="10">
                  <c:v>173</c:v>
                </c:pt>
                <c:pt idx="11">
                  <c:v>207</c:v>
                </c:pt>
                <c:pt idx="16">
                  <c:v>14</c:v>
                </c:pt>
              </c:numCache>
            </c:numRef>
          </c:val>
          <c:smooth val="0"/>
        </c:ser>
        <c:dLbls>
          <c:showLegendKey val="0"/>
          <c:showVal val="0"/>
          <c:showCatName val="0"/>
          <c:showSerName val="0"/>
          <c:showPercent val="0"/>
          <c:showBubbleSize val="0"/>
        </c:dLbls>
        <c:smooth val="0"/>
        <c:axId val="-895699216"/>
        <c:axId val="-895701392"/>
      </c:lineChart>
      <c:catAx>
        <c:axId val="-89569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95701392"/>
        <c:crosses val="autoZero"/>
        <c:auto val="1"/>
        <c:lblAlgn val="ctr"/>
        <c:lblOffset val="100"/>
        <c:noMultiLvlLbl val="0"/>
      </c:catAx>
      <c:valAx>
        <c:axId val="-895701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GB"/>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95699216"/>
        <c:crosses val="autoZero"/>
        <c:crossBetween val="between"/>
      </c:valAx>
      <c:spPr>
        <a:solidFill>
          <a:schemeClr val="bg1">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shop.xlsx]Sheet3 (2)!PivotTable2</c:name>
    <c:fmtId val="3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GB"/>
              <a:t>Total</a:t>
            </a:r>
            <a:r>
              <a:rPr lang="en-GB"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tx1">
                <a:lumMod val="95000"/>
                <a:lumOff val="5000"/>
              </a:schemeClr>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6">
                <a:lumMod val="75000"/>
              </a:schemeClr>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tx1">
                <a:lumMod val="95000"/>
                <a:lumOff val="5000"/>
              </a:schemeClr>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s>
    <c:plotArea>
      <c:layout/>
      <c:lineChart>
        <c:grouping val="stacked"/>
        <c:varyColors val="0"/>
        <c:ser>
          <c:idx val="0"/>
          <c:order val="0"/>
          <c:tx>
            <c:strRef>
              <c:f>'Sheet3 (2)'!$B$3</c:f>
              <c:strCache>
                <c:ptCount val="1"/>
                <c:pt idx="0">
                  <c:v>Total</c:v>
                </c:pt>
              </c:strCache>
            </c:strRef>
          </c:tx>
          <c:spPr>
            <a:ln w="28575" cap="rnd">
              <a:solidFill>
                <a:schemeClr val="accent1"/>
              </a:solidFill>
              <a:round/>
            </a:ln>
            <a:effectLst/>
          </c:spPr>
          <c:marker>
            <c:symbol val="none"/>
          </c:marker>
          <c:cat>
            <c:strRef>
              <c:f>'Sheet3 (2)'!$A$4:$A$11</c:f>
              <c:strCache>
                <c:ptCount val="7"/>
                <c:pt idx="0">
                  <c:v>UK</c:v>
                </c:pt>
                <c:pt idx="1">
                  <c:v>Pakistan</c:v>
                </c:pt>
                <c:pt idx="2">
                  <c:v>Italy</c:v>
                </c:pt>
                <c:pt idx="3">
                  <c:v>Iceland</c:v>
                </c:pt>
                <c:pt idx="4">
                  <c:v>Germany</c:v>
                </c:pt>
                <c:pt idx="5">
                  <c:v>Dubi</c:v>
                </c:pt>
                <c:pt idx="6">
                  <c:v>Canada</c:v>
                </c:pt>
              </c:strCache>
            </c:strRef>
          </c:cat>
          <c:val>
            <c:numRef>
              <c:f>'Sheet3 (2)'!$B$4:$B$11</c:f>
              <c:numCache>
                <c:formatCode>General</c:formatCode>
                <c:ptCount val="7"/>
                <c:pt idx="0">
                  <c:v>951</c:v>
                </c:pt>
                <c:pt idx="1">
                  <c:v>325</c:v>
                </c:pt>
                <c:pt idx="2">
                  <c:v>315</c:v>
                </c:pt>
                <c:pt idx="3">
                  <c:v>246</c:v>
                </c:pt>
                <c:pt idx="4">
                  <c:v>415</c:v>
                </c:pt>
                <c:pt idx="5">
                  <c:v>278</c:v>
                </c:pt>
                <c:pt idx="6">
                  <c:v>290</c:v>
                </c:pt>
              </c:numCache>
            </c:numRef>
          </c:val>
          <c:smooth val="0"/>
        </c:ser>
        <c:dLbls>
          <c:showLegendKey val="0"/>
          <c:showVal val="0"/>
          <c:showCatName val="0"/>
          <c:showSerName val="0"/>
          <c:showPercent val="0"/>
          <c:showBubbleSize val="0"/>
        </c:dLbls>
        <c:smooth val="0"/>
        <c:axId val="-895711184"/>
        <c:axId val="-895709552"/>
      </c:lineChart>
      <c:catAx>
        <c:axId val="-89571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95709552"/>
        <c:crosses val="autoZero"/>
        <c:auto val="1"/>
        <c:lblAlgn val="ctr"/>
        <c:lblOffset val="100"/>
        <c:noMultiLvlLbl val="0"/>
      </c:catAx>
      <c:valAx>
        <c:axId val="-895709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GB"/>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95711184"/>
        <c:crosses val="autoZero"/>
        <c:crossBetween val="between"/>
      </c:valAx>
      <c:spPr>
        <a:solidFill>
          <a:schemeClr val="bg1">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shop.xlsx]Sheet3 (2)!PivotTable2</c:name>
    <c:fmtId val="41"/>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Sales</a:t>
            </a:r>
            <a:r>
              <a:rPr lang="en-US" sz="2000" baseline="0"/>
              <a:t> by Country</a:t>
            </a:r>
            <a:endParaRPr lang="en-US" sz="2000"/>
          </a:p>
        </c:rich>
      </c:tx>
      <c:overlay val="0"/>
      <c:spPr>
        <a:solidFill>
          <a:schemeClr val="bg1">
            <a:lumMod val="65000"/>
          </a:schemeClr>
        </a:solid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bg1">
              <a:lumMod val="50000"/>
            </a:schemeClr>
          </a:solidFill>
          <a:ln>
            <a:solidFill>
              <a:schemeClr val="tx1">
                <a:lumMod val="75000"/>
                <a:lumOff val="25000"/>
              </a:schemeClr>
            </a:solidFill>
          </a:ln>
          <a:effectLst/>
        </c:spPr>
      </c:pivotFmt>
      <c:pivotFmt>
        <c:idx val="2"/>
        <c:spPr>
          <a:solidFill>
            <a:schemeClr val="bg1">
              <a:lumMod val="50000"/>
            </a:schemeClr>
          </a:solidFill>
          <a:ln>
            <a:solidFill>
              <a:schemeClr val="tx1">
                <a:lumMod val="75000"/>
                <a:lumOff val="25000"/>
              </a:schemeClr>
            </a:solidFill>
          </a:ln>
          <a:effectLst/>
        </c:spPr>
      </c:pivotFmt>
      <c:pivotFmt>
        <c:idx val="3"/>
        <c:spPr>
          <a:solidFill>
            <a:schemeClr val="bg1">
              <a:lumMod val="50000"/>
            </a:schemeClr>
          </a:solidFill>
          <a:ln>
            <a:solidFill>
              <a:schemeClr val="tx1">
                <a:lumMod val="75000"/>
                <a:lumOff val="25000"/>
              </a:schemeClr>
            </a:solidFill>
          </a:ln>
          <a:effectLst/>
        </c:spPr>
      </c:pivotFmt>
      <c:pivotFmt>
        <c:idx val="4"/>
        <c:spPr>
          <a:solidFill>
            <a:schemeClr val="bg1">
              <a:lumMod val="50000"/>
            </a:schemeClr>
          </a:solidFill>
          <a:ln>
            <a:solidFill>
              <a:schemeClr val="tx1">
                <a:lumMod val="75000"/>
                <a:lumOff val="25000"/>
              </a:schemeClr>
            </a:solidFill>
          </a:ln>
          <a:effectLst/>
        </c:spPr>
      </c:pivotFmt>
      <c:pivotFmt>
        <c:idx val="5"/>
        <c:spPr>
          <a:solidFill>
            <a:schemeClr val="bg1">
              <a:lumMod val="50000"/>
            </a:schemeClr>
          </a:solidFill>
          <a:ln>
            <a:solidFill>
              <a:schemeClr val="tx1">
                <a:lumMod val="75000"/>
                <a:lumOff val="25000"/>
              </a:schemeClr>
            </a:solidFill>
          </a:ln>
          <a:effectLst/>
        </c:spPr>
      </c:pivotFmt>
      <c:pivotFmt>
        <c:idx val="6"/>
        <c:spPr>
          <a:solidFill>
            <a:schemeClr val="bg1">
              <a:lumMod val="50000"/>
            </a:schemeClr>
          </a:solidFill>
          <a:ln>
            <a:solidFill>
              <a:schemeClr val="tx1">
                <a:lumMod val="75000"/>
                <a:lumOff val="25000"/>
              </a:schemeClr>
            </a:solidFill>
          </a:ln>
          <a:effectLst/>
        </c:spPr>
      </c:pivotFmt>
      <c:pivotFmt>
        <c:idx val="7"/>
        <c:spPr>
          <a:solidFill>
            <a:schemeClr val="bg1">
              <a:lumMod val="50000"/>
            </a:schemeClr>
          </a:solidFill>
          <a:ln>
            <a:solidFill>
              <a:schemeClr val="tx1">
                <a:lumMod val="75000"/>
                <a:lumOff val="25000"/>
              </a:schemeClr>
            </a:solidFill>
          </a:ln>
          <a:effectLst/>
        </c:spPr>
      </c:pivotFmt>
    </c:pivotFmts>
    <c:plotArea>
      <c:layout/>
      <c:barChart>
        <c:barDir val="bar"/>
        <c:grouping val="clustered"/>
        <c:varyColors val="0"/>
        <c:ser>
          <c:idx val="0"/>
          <c:order val="0"/>
          <c:tx>
            <c:strRef>
              <c:f>'Sheet3 (2)'!$B$3</c:f>
              <c:strCache>
                <c:ptCount val="1"/>
                <c:pt idx="0">
                  <c:v>Total</c:v>
                </c:pt>
              </c:strCache>
            </c:strRef>
          </c:tx>
          <c:spPr>
            <a:solidFill>
              <a:schemeClr val="accent1"/>
            </a:solidFill>
            <a:ln>
              <a:noFill/>
            </a:ln>
            <a:effectLst/>
          </c:spPr>
          <c:invertIfNegative val="0"/>
          <c:dPt>
            <c:idx val="0"/>
            <c:invertIfNegative val="0"/>
            <c:bubble3D val="0"/>
            <c:spPr>
              <a:solidFill>
                <a:schemeClr val="bg1">
                  <a:lumMod val="50000"/>
                </a:schemeClr>
              </a:solidFill>
              <a:ln>
                <a:solidFill>
                  <a:schemeClr val="tx1">
                    <a:lumMod val="75000"/>
                    <a:lumOff val="25000"/>
                  </a:schemeClr>
                </a:solidFill>
              </a:ln>
              <a:effectLst/>
            </c:spPr>
          </c:dPt>
          <c:dPt>
            <c:idx val="1"/>
            <c:invertIfNegative val="0"/>
            <c:bubble3D val="0"/>
            <c:spPr>
              <a:solidFill>
                <a:schemeClr val="bg1">
                  <a:lumMod val="50000"/>
                </a:schemeClr>
              </a:solidFill>
              <a:ln>
                <a:solidFill>
                  <a:schemeClr val="tx1">
                    <a:lumMod val="75000"/>
                    <a:lumOff val="25000"/>
                  </a:schemeClr>
                </a:solidFill>
              </a:ln>
              <a:effectLst/>
            </c:spPr>
          </c:dPt>
          <c:dPt>
            <c:idx val="2"/>
            <c:invertIfNegative val="0"/>
            <c:bubble3D val="0"/>
            <c:spPr>
              <a:solidFill>
                <a:schemeClr val="bg1">
                  <a:lumMod val="50000"/>
                </a:schemeClr>
              </a:solidFill>
              <a:ln>
                <a:solidFill>
                  <a:schemeClr val="tx1">
                    <a:lumMod val="75000"/>
                    <a:lumOff val="25000"/>
                  </a:schemeClr>
                </a:solidFill>
              </a:ln>
              <a:effectLst/>
            </c:spPr>
          </c:dPt>
          <c:dPt>
            <c:idx val="3"/>
            <c:invertIfNegative val="0"/>
            <c:bubble3D val="0"/>
            <c:spPr>
              <a:solidFill>
                <a:schemeClr val="bg1">
                  <a:lumMod val="50000"/>
                </a:schemeClr>
              </a:solidFill>
              <a:ln>
                <a:solidFill>
                  <a:schemeClr val="tx1">
                    <a:lumMod val="75000"/>
                    <a:lumOff val="25000"/>
                  </a:schemeClr>
                </a:solidFill>
              </a:ln>
              <a:effectLst/>
            </c:spPr>
          </c:dPt>
          <c:dPt>
            <c:idx val="4"/>
            <c:invertIfNegative val="0"/>
            <c:bubble3D val="0"/>
            <c:spPr>
              <a:solidFill>
                <a:schemeClr val="bg1">
                  <a:lumMod val="50000"/>
                </a:schemeClr>
              </a:solidFill>
              <a:ln>
                <a:solidFill>
                  <a:schemeClr val="tx1">
                    <a:lumMod val="75000"/>
                    <a:lumOff val="25000"/>
                  </a:schemeClr>
                </a:solidFill>
              </a:ln>
              <a:effectLst/>
            </c:spPr>
          </c:dPt>
          <c:dPt>
            <c:idx val="5"/>
            <c:invertIfNegative val="0"/>
            <c:bubble3D val="0"/>
            <c:spPr>
              <a:solidFill>
                <a:schemeClr val="bg1">
                  <a:lumMod val="50000"/>
                </a:schemeClr>
              </a:solidFill>
              <a:ln>
                <a:solidFill>
                  <a:schemeClr val="tx1">
                    <a:lumMod val="75000"/>
                    <a:lumOff val="25000"/>
                  </a:schemeClr>
                </a:solidFill>
              </a:ln>
              <a:effectLst/>
            </c:spPr>
          </c:dPt>
          <c:dPt>
            <c:idx val="6"/>
            <c:invertIfNegative val="0"/>
            <c:bubble3D val="0"/>
            <c:spPr>
              <a:solidFill>
                <a:schemeClr val="bg1">
                  <a:lumMod val="50000"/>
                </a:schemeClr>
              </a:solidFill>
              <a:ln>
                <a:solidFill>
                  <a:schemeClr val="tx1">
                    <a:lumMod val="75000"/>
                    <a:lumOff val="25000"/>
                  </a:schemeClr>
                </a:solidFill>
              </a:ln>
              <a:effectLst/>
            </c:spPr>
          </c:dPt>
          <c:cat>
            <c:strRef>
              <c:f>'Sheet3 (2)'!$A$4:$A$11</c:f>
              <c:strCache>
                <c:ptCount val="7"/>
                <c:pt idx="0">
                  <c:v>UK</c:v>
                </c:pt>
                <c:pt idx="1">
                  <c:v>Pakistan</c:v>
                </c:pt>
                <c:pt idx="2">
                  <c:v>Italy</c:v>
                </c:pt>
                <c:pt idx="3">
                  <c:v>Iceland</c:v>
                </c:pt>
                <c:pt idx="4">
                  <c:v>Germany</c:v>
                </c:pt>
                <c:pt idx="5">
                  <c:v>Dubi</c:v>
                </c:pt>
                <c:pt idx="6">
                  <c:v>Canada</c:v>
                </c:pt>
              </c:strCache>
            </c:strRef>
          </c:cat>
          <c:val>
            <c:numRef>
              <c:f>'Sheet3 (2)'!$B$4:$B$11</c:f>
              <c:numCache>
                <c:formatCode>General</c:formatCode>
                <c:ptCount val="7"/>
                <c:pt idx="0">
                  <c:v>951</c:v>
                </c:pt>
                <c:pt idx="1">
                  <c:v>325</c:v>
                </c:pt>
                <c:pt idx="2">
                  <c:v>315</c:v>
                </c:pt>
                <c:pt idx="3">
                  <c:v>246</c:v>
                </c:pt>
                <c:pt idx="4">
                  <c:v>415</c:v>
                </c:pt>
                <c:pt idx="5">
                  <c:v>278</c:v>
                </c:pt>
                <c:pt idx="6">
                  <c:v>290</c:v>
                </c:pt>
              </c:numCache>
            </c:numRef>
          </c:val>
        </c:ser>
        <c:dLbls>
          <c:showLegendKey val="0"/>
          <c:showVal val="0"/>
          <c:showCatName val="0"/>
          <c:showSerName val="0"/>
          <c:showPercent val="0"/>
          <c:showBubbleSize val="0"/>
        </c:dLbls>
        <c:gapWidth val="182"/>
        <c:axId val="-955422176"/>
        <c:axId val="-955415104"/>
      </c:barChart>
      <c:catAx>
        <c:axId val="-955422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55415104"/>
        <c:crosses val="autoZero"/>
        <c:auto val="1"/>
        <c:lblAlgn val="ctr"/>
        <c:lblOffset val="100"/>
        <c:noMultiLvlLbl val="0"/>
      </c:catAx>
      <c:valAx>
        <c:axId val="-955415104"/>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422176"/>
        <c:crosses val="autoZero"/>
        <c:crossBetween val="between"/>
      </c:valAx>
      <c:spPr>
        <a:solidFill>
          <a:schemeClr val="bg1">
            <a:lumMod val="75000"/>
          </a:schemeClr>
        </a:solidFill>
        <a:ln>
          <a:noFill/>
        </a:ln>
        <a:effectLst/>
      </c:spPr>
    </c:plotArea>
    <c:plotVisOnly val="1"/>
    <c:dispBlanksAs val="gap"/>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shop.xlsx]Sheet3 (3)!PivotTable2</c:name>
    <c:fmtId val="4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GB"/>
              <a:t>Total</a:t>
            </a:r>
            <a:r>
              <a:rPr lang="en-GB"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tx1">
                <a:lumMod val="95000"/>
                <a:lumOff val="5000"/>
              </a:schemeClr>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6">
                <a:lumMod val="75000"/>
              </a:schemeClr>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tx1">
                <a:lumMod val="95000"/>
                <a:lumOff val="5000"/>
              </a:schemeClr>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s>
    <c:plotArea>
      <c:layout/>
      <c:lineChart>
        <c:grouping val="stacked"/>
        <c:varyColors val="0"/>
        <c:ser>
          <c:idx val="0"/>
          <c:order val="0"/>
          <c:tx>
            <c:strRef>
              <c:f>'Sheet3 (3)'!$B$3</c:f>
              <c:strCache>
                <c:ptCount val="1"/>
                <c:pt idx="0">
                  <c:v>Total</c:v>
                </c:pt>
              </c:strCache>
            </c:strRef>
          </c:tx>
          <c:spPr>
            <a:ln w="28575" cap="rnd">
              <a:solidFill>
                <a:schemeClr val="accent1"/>
              </a:solidFill>
              <a:round/>
            </a:ln>
            <a:effectLst/>
          </c:spPr>
          <c:marker>
            <c:symbol val="none"/>
          </c:marker>
          <c:cat>
            <c:strRef>
              <c:f>'Sheet3 (3)'!$A$4:$A$10</c:f>
              <c:strCache>
                <c:ptCount val="6"/>
                <c:pt idx="0">
                  <c:v>Johnson</c:v>
                </c:pt>
                <c:pt idx="1">
                  <c:v>Smith</c:v>
                </c:pt>
                <c:pt idx="2">
                  <c:v>Charlie</c:v>
                </c:pt>
                <c:pt idx="3">
                  <c:v>Juan</c:v>
                </c:pt>
                <c:pt idx="4">
                  <c:v>Helen</c:v>
                </c:pt>
                <c:pt idx="5">
                  <c:v>Doug</c:v>
                </c:pt>
              </c:strCache>
            </c:strRef>
          </c:cat>
          <c:val>
            <c:numRef>
              <c:f>'Sheet3 (3)'!$B$4:$B$10</c:f>
              <c:numCache>
                <c:formatCode>General</c:formatCode>
                <c:ptCount val="6"/>
                <c:pt idx="0">
                  <c:v>65</c:v>
                </c:pt>
                <c:pt idx="1">
                  <c:v>77</c:v>
                </c:pt>
                <c:pt idx="2">
                  <c:v>99</c:v>
                </c:pt>
                <c:pt idx="3">
                  <c:v>124</c:v>
                </c:pt>
                <c:pt idx="4">
                  <c:v>143</c:v>
                </c:pt>
                <c:pt idx="5">
                  <c:v>193</c:v>
                </c:pt>
              </c:numCache>
            </c:numRef>
          </c:val>
          <c:smooth val="0"/>
        </c:ser>
        <c:dLbls>
          <c:showLegendKey val="0"/>
          <c:showVal val="0"/>
          <c:showCatName val="0"/>
          <c:showSerName val="0"/>
          <c:showPercent val="0"/>
          <c:showBubbleSize val="0"/>
        </c:dLbls>
        <c:smooth val="0"/>
        <c:axId val="-955414560"/>
        <c:axId val="-955412928"/>
      </c:lineChart>
      <c:catAx>
        <c:axId val="-95541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55412928"/>
        <c:crosses val="autoZero"/>
        <c:auto val="1"/>
        <c:lblAlgn val="ctr"/>
        <c:lblOffset val="100"/>
        <c:noMultiLvlLbl val="0"/>
      </c:catAx>
      <c:valAx>
        <c:axId val="-955412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GB"/>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55414560"/>
        <c:crosses val="autoZero"/>
        <c:crossBetween val="between"/>
      </c:valAx>
      <c:spPr>
        <a:solidFill>
          <a:schemeClr val="bg1">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shop.xlsx]Sheet3 (3)!PivotTable2</c:name>
    <c:fmtId val="4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Top</a:t>
            </a:r>
            <a:r>
              <a:rPr lang="en-US" sz="2000" baseline="0"/>
              <a:t> 6 Customer </a:t>
            </a:r>
            <a:endParaRPr lang="en-US" sz="2000"/>
          </a:p>
        </c:rich>
      </c:tx>
      <c:overlay val="0"/>
      <c:spPr>
        <a:solidFill>
          <a:schemeClr val="bg1">
            <a:lumMod val="65000"/>
          </a:schemeClr>
        </a:solid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solidFill>
              <a:schemeClr val="tx1">
                <a:lumMod val="75000"/>
                <a:lumOff val="25000"/>
              </a:schemeClr>
            </a:solidFill>
          </a:ln>
          <a:effectLst/>
        </c:spPr>
      </c:pivotFmt>
      <c:pivotFmt>
        <c:idx val="2"/>
        <c:spPr>
          <a:solidFill>
            <a:schemeClr val="bg1">
              <a:lumMod val="50000"/>
            </a:schemeClr>
          </a:solidFill>
          <a:ln>
            <a:solidFill>
              <a:schemeClr val="tx1">
                <a:lumMod val="75000"/>
                <a:lumOff val="25000"/>
              </a:schemeClr>
            </a:solidFill>
          </a:ln>
          <a:effectLst/>
        </c:spPr>
      </c:pivotFmt>
      <c:pivotFmt>
        <c:idx val="3"/>
        <c:spPr>
          <a:solidFill>
            <a:schemeClr val="bg1">
              <a:lumMod val="50000"/>
            </a:schemeClr>
          </a:solidFill>
          <a:ln>
            <a:solidFill>
              <a:schemeClr val="tx1">
                <a:lumMod val="75000"/>
                <a:lumOff val="25000"/>
              </a:schemeClr>
            </a:solidFill>
          </a:ln>
          <a:effectLst/>
        </c:spPr>
      </c:pivotFmt>
      <c:pivotFmt>
        <c:idx val="4"/>
        <c:spPr>
          <a:solidFill>
            <a:schemeClr val="bg1">
              <a:lumMod val="50000"/>
            </a:schemeClr>
          </a:solidFill>
          <a:ln>
            <a:solidFill>
              <a:schemeClr val="tx1">
                <a:lumMod val="75000"/>
                <a:lumOff val="25000"/>
              </a:schemeClr>
            </a:solidFill>
          </a:ln>
          <a:effectLst/>
        </c:spPr>
      </c:pivotFmt>
      <c:pivotFmt>
        <c:idx val="5"/>
        <c:spPr>
          <a:solidFill>
            <a:schemeClr val="bg1">
              <a:lumMod val="50000"/>
            </a:schemeClr>
          </a:solidFill>
          <a:ln>
            <a:solidFill>
              <a:schemeClr val="tx1">
                <a:lumMod val="75000"/>
                <a:lumOff val="25000"/>
              </a:schemeClr>
            </a:solidFill>
          </a:ln>
          <a:effectLst/>
        </c:spPr>
      </c:pivotFmt>
      <c:pivotFmt>
        <c:idx val="6"/>
        <c:spPr>
          <a:solidFill>
            <a:schemeClr val="bg1">
              <a:lumMod val="50000"/>
            </a:schemeClr>
          </a:solidFill>
          <a:ln>
            <a:solidFill>
              <a:schemeClr val="tx1">
                <a:lumMod val="75000"/>
                <a:lumOff val="25000"/>
              </a:schemeClr>
            </a:solidFill>
          </a:ln>
          <a:effectLst/>
        </c:spPr>
      </c:pivotFmt>
      <c:pivotFmt>
        <c:idx val="7"/>
        <c:spPr>
          <a:solidFill>
            <a:schemeClr val="bg1">
              <a:lumMod val="50000"/>
            </a:schemeClr>
          </a:solidFill>
          <a:ln>
            <a:solidFill>
              <a:schemeClr val="tx1">
                <a:lumMod val="75000"/>
                <a:lumOff val="25000"/>
              </a:schemeClr>
            </a:solidFill>
          </a:ln>
          <a:effectLst/>
        </c:spPr>
      </c:pivotFmt>
      <c:pivotFmt>
        <c:idx val="8"/>
        <c:spPr>
          <a:solidFill>
            <a:schemeClr val="accent1"/>
          </a:solidFill>
          <a:ln>
            <a:noFill/>
          </a:ln>
          <a:effectLst/>
        </c:spPr>
        <c:marker>
          <c:symbol val="none"/>
        </c:marker>
      </c:pivotFmt>
      <c:pivotFmt>
        <c:idx val="9"/>
        <c:spPr>
          <a:solidFill>
            <a:schemeClr val="bg1">
              <a:lumMod val="50000"/>
            </a:schemeClr>
          </a:solidFill>
          <a:ln>
            <a:solidFill>
              <a:schemeClr val="tx1">
                <a:lumMod val="75000"/>
                <a:lumOff val="25000"/>
              </a:schemeClr>
            </a:solidFill>
          </a:ln>
          <a:effectLst/>
        </c:spPr>
      </c:pivotFmt>
      <c:pivotFmt>
        <c:idx val="10"/>
        <c:spPr>
          <a:solidFill>
            <a:schemeClr val="bg1">
              <a:lumMod val="50000"/>
            </a:schemeClr>
          </a:solidFill>
          <a:ln>
            <a:solidFill>
              <a:schemeClr val="tx1">
                <a:lumMod val="75000"/>
                <a:lumOff val="25000"/>
              </a:schemeClr>
            </a:solidFill>
          </a:ln>
          <a:effectLst/>
        </c:spPr>
      </c:pivotFmt>
      <c:pivotFmt>
        <c:idx val="11"/>
        <c:spPr>
          <a:solidFill>
            <a:schemeClr val="bg1">
              <a:lumMod val="50000"/>
            </a:schemeClr>
          </a:solidFill>
          <a:ln>
            <a:solidFill>
              <a:schemeClr val="tx1">
                <a:lumMod val="75000"/>
                <a:lumOff val="25000"/>
              </a:schemeClr>
            </a:solidFill>
          </a:ln>
          <a:effectLst/>
        </c:spPr>
      </c:pivotFmt>
      <c:pivotFmt>
        <c:idx val="12"/>
        <c:spPr>
          <a:solidFill>
            <a:schemeClr val="bg1">
              <a:lumMod val="50000"/>
            </a:schemeClr>
          </a:solidFill>
          <a:ln>
            <a:solidFill>
              <a:schemeClr val="tx1">
                <a:lumMod val="75000"/>
                <a:lumOff val="25000"/>
              </a:schemeClr>
            </a:solidFill>
          </a:ln>
          <a:effectLst/>
        </c:spPr>
      </c:pivotFmt>
      <c:pivotFmt>
        <c:idx val="13"/>
        <c:spPr>
          <a:solidFill>
            <a:schemeClr val="bg1">
              <a:lumMod val="50000"/>
            </a:schemeClr>
          </a:solidFill>
          <a:ln>
            <a:solidFill>
              <a:schemeClr val="tx1">
                <a:lumMod val="75000"/>
                <a:lumOff val="25000"/>
              </a:schemeClr>
            </a:solidFill>
          </a:ln>
          <a:effectLst/>
        </c:spPr>
      </c:pivotFmt>
      <c:pivotFmt>
        <c:idx val="14"/>
        <c:spPr>
          <a:solidFill>
            <a:schemeClr val="bg1">
              <a:lumMod val="50000"/>
            </a:schemeClr>
          </a:solidFill>
          <a:ln>
            <a:solidFill>
              <a:schemeClr val="tx1">
                <a:lumMod val="75000"/>
                <a:lumOff val="25000"/>
              </a:schemeClr>
            </a:solidFill>
          </a:ln>
          <a:effectLst/>
        </c:spPr>
      </c:pivotFmt>
      <c:pivotFmt>
        <c:idx val="15"/>
        <c:spPr>
          <a:solidFill>
            <a:schemeClr val="bg1">
              <a:lumMod val="50000"/>
            </a:schemeClr>
          </a:solidFill>
          <a:ln>
            <a:solidFill>
              <a:schemeClr val="tx1">
                <a:lumMod val="75000"/>
                <a:lumOff val="25000"/>
              </a:schemeClr>
            </a:solidFill>
          </a:ln>
          <a:effectLst/>
        </c:spPr>
      </c:pivotFmt>
      <c:pivotFmt>
        <c:idx val="16"/>
        <c:spPr>
          <a:solidFill>
            <a:schemeClr val="bg1">
              <a:lumMod val="50000"/>
            </a:schemeClr>
          </a:solidFill>
          <a:ln>
            <a:solidFill>
              <a:schemeClr val="bg1">
                <a:lumMod val="95000"/>
              </a:schemeClr>
            </a:solidFill>
          </a:ln>
          <a:effectLst/>
        </c:spPr>
      </c:pivotFmt>
      <c:pivotFmt>
        <c:idx val="17"/>
        <c:spPr>
          <a:solidFill>
            <a:schemeClr val="bg1">
              <a:lumMod val="50000"/>
            </a:schemeClr>
          </a:solidFill>
          <a:ln>
            <a:solidFill>
              <a:schemeClr val="bg1"/>
            </a:solidFill>
          </a:ln>
          <a:effectLst/>
        </c:spPr>
      </c:pivotFmt>
      <c:pivotFmt>
        <c:idx val="18"/>
        <c:spPr>
          <a:solidFill>
            <a:schemeClr val="bg1">
              <a:lumMod val="50000"/>
            </a:schemeClr>
          </a:solidFill>
          <a:ln>
            <a:solidFill>
              <a:schemeClr val="bg1"/>
            </a:solidFill>
          </a:ln>
          <a:effectLst/>
        </c:spPr>
      </c:pivotFmt>
      <c:pivotFmt>
        <c:idx val="19"/>
        <c:spPr>
          <a:solidFill>
            <a:schemeClr val="bg1">
              <a:lumMod val="50000"/>
            </a:schemeClr>
          </a:solidFill>
          <a:ln>
            <a:solidFill>
              <a:schemeClr val="bg1"/>
            </a:solidFill>
          </a:ln>
          <a:effectLst/>
        </c:spPr>
      </c:pivotFmt>
      <c:pivotFmt>
        <c:idx val="20"/>
        <c:spPr>
          <a:solidFill>
            <a:schemeClr val="bg1">
              <a:lumMod val="50000"/>
            </a:schemeClr>
          </a:solidFill>
          <a:ln>
            <a:solidFill>
              <a:schemeClr val="bg1"/>
            </a:solidFill>
          </a:ln>
          <a:effectLst/>
        </c:spPr>
      </c:pivotFmt>
      <c:pivotFmt>
        <c:idx val="21"/>
        <c:spPr>
          <a:solidFill>
            <a:schemeClr val="bg1">
              <a:lumMod val="50000"/>
            </a:schemeClr>
          </a:solidFill>
          <a:ln>
            <a:solidFill>
              <a:schemeClr val="bg1"/>
            </a:solidFill>
          </a:ln>
          <a:effectLst/>
        </c:spPr>
      </c:pivotFmt>
    </c:pivotFmts>
    <c:plotArea>
      <c:layout/>
      <c:barChart>
        <c:barDir val="bar"/>
        <c:grouping val="clustered"/>
        <c:varyColors val="0"/>
        <c:ser>
          <c:idx val="0"/>
          <c:order val="0"/>
          <c:tx>
            <c:strRef>
              <c:f>'Sheet3 (3)'!$B$3</c:f>
              <c:strCache>
                <c:ptCount val="1"/>
                <c:pt idx="0">
                  <c:v>Total</c:v>
                </c:pt>
              </c:strCache>
            </c:strRef>
          </c:tx>
          <c:spPr>
            <a:solidFill>
              <a:schemeClr val="accent1"/>
            </a:solidFill>
            <a:ln>
              <a:noFill/>
            </a:ln>
            <a:effectLst/>
          </c:spPr>
          <c:invertIfNegative val="0"/>
          <c:dPt>
            <c:idx val="0"/>
            <c:invertIfNegative val="0"/>
            <c:bubble3D val="0"/>
            <c:spPr>
              <a:solidFill>
                <a:schemeClr val="bg1">
                  <a:lumMod val="50000"/>
                </a:schemeClr>
              </a:solidFill>
              <a:ln>
                <a:solidFill>
                  <a:schemeClr val="bg1"/>
                </a:solidFill>
              </a:ln>
              <a:effectLst/>
            </c:spPr>
          </c:dPt>
          <c:dPt>
            <c:idx val="1"/>
            <c:invertIfNegative val="0"/>
            <c:bubble3D val="0"/>
            <c:spPr>
              <a:solidFill>
                <a:schemeClr val="bg1">
                  <a:lumMod val="50000"/>
                </a:schemeClr>
              </a:solidFill>
              <a:ln>
                <a:solidFill>
                  <a:schemeClr val="bg1"/>
                </a:solidFill>
              </a:ln>
              <a:effectLst/>
            </c:spPr>
          </c:dPt>
          <c:dPt>
            <c:idx val="2"/>
            <c:invertIfNegative val="0"/>
            <c:bubble3D val="0"/>
            <c:spPr>
              <a:solidFill>
                <a:schemeClr val="bg1">
                  <a:lumMod val="50000"/>
                </a:schemeClr>
              </a:solidFill>
              <a:ln>
                <a:solidFill>
                  <a:schemeClr val="bg1"/>
                </a:solidFill>
              </a:ln>
              <a:effectLst/>
            </c:spPr>
          </c:dPt>
          <c:dPt>
            <c:idx val="3"/>
            <c:invertIfNegative val="0"/>
            <c:bubble3D val="0"/>
            <c:spPr>
              <a:solidFill>
                <a:schemeClr val="bg1">
                  <a:lumMod val="50000"/>
                </a:schemeClr>
              </a:solidFill>
              <a:ln>
                <a:solidFill>
                  <a:schemeClr val="bg1"/>
                </a:solidFill>
              </a:ln>
              <a:effectLst/>
            </c:spPr>
          </c:dPt>
          <c:dPt>
            <c:idx val="4"/>
            <c:invertIfNegative val="0"/>
            <c:bubble3D val="0"/>
            <c:spPr>
              <a:solidFill>
                <a:schemeClr val="bg1">
                  <a:lumMod val="50000"/>
                </a:schemeClr>
              </a:solidFill>
              <a:ln>
                <a:solidFill>
                  <a:schemeClr val="bg1"/>
                </a:solidFill>
              </a:ln>
              <a:effectLst/>
            </c:spPr>
          </c:dPt>
          <c:dPt>
            <c:idx val="5"/>
            <c:invertIfNegative val="0"/>
            <c:bubble3D val="0"/>
            <c:spPr>
              <a:solidFill>
                <a:schemeClr val="bg1">
                  <a:lumMod val="50000"/>
                </a:schemeClr>
              </a:solidFill>
              <a:ln>
                <a:solidFill>
                  <a:schemeClr val="bg1">
                    <a:lumMod val="95000"/>
                  </a:schemeClr>
                </a:solidFill>
              </a:ln>
              <a:effectLst/>
            </c:spPr>
          </c:dPt>
          <c:dPt>
            <c:idx val="6"/>
            <c:invertIfNegative val="0"/>
            <c:bubble3D val="0"/>
          </c:dPt>
          <c:cat>
            <c:strRef>
              <c:f>'Sheet3 (3)'!$A$4:$A$10</c:f>
              <c:strCache>
                <c:ptCount val="6"/>
                <c:pt idx="0">
                  <c:v>Johnson</c:v>
                </c:pt>
                <c:pt idx="1">
                  <c:v>Smith</c:v>
                </c:pt>
                <c:pt idx="2">
                  <c:v>Charlie</c:v>
                </c:pt>
                <c:pt idx="3">
                  <c:v>Juan</c:v>
                </c:pt>
                <c:pt idx="4">
                  <c:v>Helen</c:v>
                </c:pt>
                <c:pt idx="5">
                  <c:v>Doug</c:v>
                </c:pt>
              </c:strCache>
            </c:strRef>
          </c:cat>
          <c:val>
            <c:numRef>
              <c:f>'Sheet3 (3)'!$B$4:$B$10</c:f>
              <c:numCache>
                <c:formatCode>General</c:formatCode>
                <c:ptCount val="6"/>
                <c:pt idx="0">
                  <c:v>65</c:v>
                </c:pt>
                <c:pt idx="1">
                  <c:v>77</c:v>
                </c:pt>
                <c:pt idx="2">
                  <c:v>99</c:v>
                </c:pt>
                <c:pt idx="3">
                  <c:v>124</c:v>
                </c:pt>
                <c:pt idx="4">
                  <c:v>143</c:v>
                </c:pt>
                <c:pt idx="5">
                  <c:v>193</c:v>
                </c:pt>
              </c:numCache>
            </c:numRef>
          </c:val>
        </c:ser>
        <c:dLbls>
          <c:showLegendKey val="0"/>
          <c:showVal val="0"/>
          <c:showCatName val="0"/>
          <c:showSerName val="0"/>
          <c:showPercent val="0"/>
          <c:showBubbleSize val="0"/>
        </c:dLbls>
        <c:gapWidth val="182"/>
        <c:axId val="-1024381968"/>
        <c:axId val="-1024381424"/>
      </c:barChart>
      <c:catAx>
        <c:axId val="-102438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24381424"/>
        <c:crosses val="autoZero"/>
        <c:auto val="1"/>
        <c:lblAlgn val="ctr"/>
        <c:lblOffset val="100"/>
        <c:noMultiLvlLbl val="0"/>
      </c:catAx>
      <c:valAx>
        <c:axId val="-1024381424"/>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381968"/>
        <c:crosses val="autoZero"/>
        <c:crossBetween val="between"/>
      </c:valAx>
      <c:spPr>
        <a:solidFill>
          <a:schemeClr val="bg1">
            <a:lumMod val="75000"/>
          </a:schemeClr>
        </a:solidFill>
        <a:ln>
          <a:noFill/>
        </a:ln>
        <a:effectLst/>
      </c:spPr>
    </c:plotArea>
    <c:plotVisOnly val="1"/>
    <c:dispBlanksAs val="gap"/>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shop.xlsx]Sheet3!PivotTable2</c:name>
    <c:fmtId val="35"/>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GB"/>
              <a:t>Total</a:t>
            </a:r>
            <a:r>
              <a:rPr lang="en-GB" baseline="0"/>
              <a:t>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tx1">
                <a:lumMod val="95000"/>
                <a:lumOff val="5000"/>
              </a:schemeClr>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6">
                <a:lumMod val="75000"/>
              </a:schemeClr>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tx1">
                <a:lumMod val="95000"/>
                <a:lumOff val="5000"/>
              </a:schemeClr>
            </a:solidFill>
            <a:round/>
          </a:ln>
          <a:effectLst/>
        </c:spPr>
        <c:marker>
          <c:symbol val="none"/>
        </c:marker>
      </c:pivotFmt>
      <c:pivotFmt>
        <c:idx val="9"/>
        <c:spPr>
          <a:ln w="28575" cap="rnd">
            <a:solidFill>
              <a:schemeClr val="accent6">
                <a:lumMod val="75000"/>
              </a:schemeClr>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tx1">
                <a:lumMod val="95000"/>
                <a:lumOff val="5000"/>
              </a:schemeClr>
            </a:solidFill>
            <a:round/>
          </a:ln>
          <a:effectLst/>
        </c:spPr>
        <c:marker>
          <c:symbol val="none"/>
        </c:marker>
      </c:pivotFmt>
    </c:pivotFmts>
    <c:plotArea>
      <c:layout/>
      <c:lineChart>
        <c:grouping val="stacked"/>
        <c:varyColors val="0"/>
        <c:ser>
          <c:idx val="0"/>
          <c:order val="0"/>
          <c:tx>
            <c:strRef>
              <c:f>Sheet3!$C$3:$C$4</c:f>
              <c:strCache>
                <c:ptCount val="1"/>
                <c:pt idx="0">
                  <c:v>Electronic</c:v>
                </c:pt>
              </c:strCache>
            </c:strRef>
          </c:tx>
          <c:spPr>
            <a:ln w="28575" cap="rnd">
              <a:solidFill>
                <a:schemeClr val="accent6">
                  <a:lumMod val="75000"/>
                </a:schemeClr>
              </a:solidFill>
              <a:round/>
            </a:ln>
            <a:effectLst/>
          </c:spPr>
          <c:marker>
            <c:symbol val="none"/>
          </c:marker>
          <c:cat>
            <c:multiLvlStrRef>
              <c:f>Sheet3!$A$5:$B$38</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Aug</c:v>
                  </c:pt>
                  <c:pt idx="16">
                    <c:v>Sep</c:v>
                  </c:pt>
                  <c:pt idx="17">
                    <c:v>Nov</c:v>
                  </c:pt>
                  <c:pt idx="18">
                    <c:v>Mar</c:v>
                  </c:pt>
                  <c:pt idx="19">
                    <c:v>Dec</c:v>
                  </c:pt>
                  <c:pt idx="20">
                    <c:v>Jan</c:v>
                  </c:pt>
                  <c:pt idx="21">
                    <c:v>Nov</c:v>
                  </c:pt>
                  <c:pt idx="22">
                    <c:v>Jan</c:v>
                  </c:pt>
                  <c:pt idx="23">
                    <c:v>May</c:v>
                  </c:pt>
                  <c:pt idx="24">
                    <c:v>Sep</c:v>
                  </c:pt>
                  <c:pt idx="25">
                    <c:v>Oct</c:v>
                  </c:pt>
                  <c:pt idx="26">
                    <c:v>Nov</c:v>
                  </c:pt>
                  <c:pt idx="27">
                    <c:v>Jan</c:v>
                  </c:pt>
                  <c:pt idx="28">
                    <c:v>Feb</c:v>
                  </c:pt>
                  <c:pt idx="29">
                    <c:v>Apr</c:v>
                  </c:pt>
                  <c:pt idx="30">
                    <c:v>Sep</c:v>
                  </c:pt>
                  <c:pt idx="31">
                    <c:v>Dec</c:v>
                  </c:pt>
                  <c:pt idx="32">
                    <c:v>Feb</c:v>
                  </c:pt>
                </c:lvl>
                <c:lvl>
                  <c:pt idx="0">
                    <c:v>2019</c:v>
                  </c:pt>
                  <c:pt idx="12">
                    <c:v>2020</c:v>
                  </c:pt>
                  <c:pt idx="18">
                    <c:v>2021</c:v>
                  </c:pt>
                  <c:pt idx="20">
                    <c:v>2022</c:v>
                  </c:pt>
                  <c:pt idx="22">
                    <c:v>2023</c:v>
                  </c:pt>
                  <c:pt idx="27">
                    <c:v>2024</c:v>
                  </c:pt>
                  <c:pt idx="32">
                    <c:v>2025</c:v>
                  </c:pt>
                </c:lvl>
              </c:multiLvlStrCache>
            </c:multiLvlStrRef>
          </c:cat>
          <c:val>
            <c:numRef>
              <c:f>Sheet3!$C$5:$C$38</c:f>
              <c:numCache>
                <c:formatCode>General</c:formatCode>
                <c:ptCount val="33"/>
                <c:pt idx="0">
                  <c:v>24</c:v>
                </c:pt>
                <c:pt idx="1">
                  <c:v>61</c:v>
                </c:pt>
                <c:pt idx="2">
                  <c:v>50</c:v>
                </c:pt>
                <c:pt idx="3">
                  <c:v>44</c:v>
                </c:pt>
                <c:pt idx="4">
                  <c:v>44</c:v>
                </c:pt>
                <c:pt idx="5">
                  <c:v>33</c:v>
                </c:pt>
                <c:pt idx="6">
                  <c:v>73</c:v>
                </c:pt>
                <c:pt idx="7">
                  <c:v>71</c:v>
                </c:pt>
                <c:pt idx="8">
                  <c:v>96</c:v>
                </c:pt>
                <c:pt idx="9">
                  <c:v>101</c:v>
                </c:pt>
                <c:pt idx="10">
                  <c:v>99</c:v>
                </c:pt>
                <c:pt idx="11">
                  <c:v>191</c:v>
                </c:pt>
                <c:pt idx="12">
                  <c:v>207</c:v>
                </c:pt>
                <c:pt idx="13">
                  <c:v>114</c:v>
                </c:pt>
                <c:pt idx="14">
                  <c:v>155</c:v>
                </c:pt>
                <c:pt idx="15">
                  <c:v>53</c:v>
                </c:pt>
                <c:pt idx="17">
                  <c:v>17</c:v>
                </c:pt>
                <c:pt idx="18">
                  <c:v>15</c:v>
                </c:pt>
                <c:pt idx="19">
                  <c:v>30</c:v>
                </c:pt>
                <c:pt idx="20">
                  <c:v>59</c:v>
                </c:pt>
                <c:pt idx="21">
                  <c:v>15</c:v>
                </c:pt>
                <c:pt idx="22">
                  <c:v>73</c:v>
                </c:pt>
                <c:pt idx="23">
                  <c:v>13</c:v>
                </c:pt>
                <c:pt idx="24">
                  <c:v>14</c:v>
                </c:pt>
                <c:pt idx="25">
                  <c:v>12</c:v>
                </c:pt>
                <c:pt idx="26">
                  <c:v>28</c:v>
                </c:pt>
                <c:pt idx="27">
                  <c:v>111</c:v>
                </c:pt>
                <c:pt idx="28">
                  <c:v>156</c:v>
                </c:pt>
                <c:pt idx="29">
                  <c:v>16</c:v>
                </c:pt>
                <c:pt idx="30">
                  <c:v>16</c:v>
                </c:pt>
                <c:pt idx="31">
                  <c:v>13</c:v>
                </c:pt>
                <c:pt idx="32">
                  <c:v>137</c:v>
                </c:pt>
              </c:numCache>
            </c:numRef>
          </c:val>
          <c:smooth val="0"/>
        </c:ser>
        <c:ser>
          <c:idx val="1"/>
          <c:order val="1"/>
          <c:tx>
            <c:strRef>
              <c:f>Sheet3!$D$3:$D$4</c:f>
              <c:strCache>
                <c:ptCount val="1"/>
                <c:pt idx="0">
                  <c:v>Exported </c:v>
                </c:pt>
              </c:strCache>
            </c:strRef>
          </c:tx>
          <c:spPr>
            <a:ln w="28575" cap="rnd">
              <a:solidFill>
                <a:schemeClr val="accent2"/>
              </a:solidFill>
              <a:round/>
            </a:ln>
            <a:effectLst/>
          </c:spPr>
          <c:marker>
            <c:symbol val="none"/>
          </c:marker>
          <c:cat>
            <c:multiLvlStrRef>
              <c:f>Sheet3!$A$5:$B$38</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Aug</c:v>
                  </c:pt>
                  <c:pt idx="16">
                    <c:v>Sep</c:v>
                  </c:pt>
                  <c:pt idx="17">
                    <c:v>Nov</c:v>
                  </c:pt>
                  <c:pt idx="18">
                    <c:v>Mar</c:v>
                  </c:pt>
                  <c:pt idx="19">
                    <c:v>Dec</c:v>
                  </c:pt>
                  <c:pt idx="20">
                    <c:v>Jan</c:v>
                  </c:pt>
                  <c:pt idx="21">
                    <c:v>Nov</c:v>
                  </c:pt>
                  <c:pt idx="22">
                    <c:v>Jan</c:v>
                  </c:pt>
                  <c:pt idx="23">
                    <c:v>May</c:v>
                  </c:pt>
                  <c:pt idx="24">
                    <c:v>Sep</c:v>
                  </c:pt>
                  <c:pt idx="25">
                    <c:v>Oct</c:v>
                  </c:pt>
                  <c:pt idx="26">
                    <c:v>Nov</c:v>
                  </c:pt>
                  <c:pt idx="27">
                    <c:v>Jan</c:v>
                  </c:pt>
                  <c:pt idx="28">
                    <c:v>Feb</c:v>
                  </c:pt>
                  <c:pt idx="29">
                    <c:v>Apr</c:v>
                  </c:pt>
                  <c:pt idx="30">
                    <c:v>Sep</c:v>
                  </c:pt>
                  <c:pt idx="31">
                    <c:v>Dec</c:v>
                  </c:pt>
                  <c:pt idx="32">
                    <c:v>Feb</c:v>
                  </c:pt>
                </c:lvl>
                <c:lvl>
                  <c:pt idx="0">
                    <c:v>2019</c:v>
                  </c:pt>
                  <c:pt idx="12">
                    <c:v>2020</c:v>
                  </c:pt>
                  <c:pt idx="18">
                    <c:v>2021</c:v>
                  </c:pt>
                  <c:pt idx="20">
                    <c:v>2022</c:v>
                  </c:pt>
                  <c:pt idx="22">
                    <c:v>2023</c:v>
                  </c:pt>
                  <c:pt idx="27">
                    <c:v>2024</c:v>
                  </c:pt>
                  <c:pt idx="32">
                    <c:v>2025</c:v>
                  </c:pt>
                </c:lvl>
              </c:multiLvlStrCache>
            </c:multiLvlStrRef>
          </c:cat>
          <c:val>
            <c:numRef>
              <c:f>Sheet3!$D$5:$D$38</c:f>
              <c:numCache>
                <c:formatCode>General</c:formatCode>
                <c:ptCount val="33"/>
                <c:pt idx="10">
                  <c:v>14</c:v>
                </c:pt>
                <c:pt idx="12">
                  <c:v>13</c:v>
                </c:pt>
              </c:numCache>
            </c:numRef>
          </c:val>
          <c:smooth val="0"/>
        </c:ser>
        <c:ser>
          <c:idx val="2"/>
          <c:order val="2"/>
          <c:tx>
            <c:strRef>
              <c:f>Sheet3!$E$3:$E$4</c:f>
              <c:strCache>
                <c:ptCount val="1"/>
                <c:pt idx="0">
                  <c:v>Germany </c:v>
                </c:pt>
              </c:strCache>
            </c:strRef>
          </c:tx>
          <c:spPr>
            <a:ln w="28575" cap="rnd">
              <a:solidFill>
                <a:schemeClr val="accent3"/>
              </a:solidFill>
              <a:round/>
            </a:ln>
            <a:effectLst/>
          </c:spPr>
          <c:marker>
            <c:symbol val="none"/>
          </c:marker>
          <c:cat>
            <c:multiLvlStrRef>
              <c:f>Sheet3!$A$5:$B$38</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Aug</c:v>
                  </c:pt>
                  <c:pt idx="16">
                    <c:v>Sep</c:v>
                  </c:pt>
                  <c:pt idx="17">
                    <c:v>Nov</c:v>
                  </c:pt>
                  <c:pt idx="18">
                    <c:v>Mar</c:v>
                  </c:pt>
                  <c:pt idx="19">
                    <c:v>Dec</c:v>
                  </c:pt>
                  <c:pt idx="20">
                    <c:v>Jan</c:v>
                  </c:pt>
                  <c:pt idx="21">
                    <c:v>Nov</c:v>
                  </c:pt>
                  <c:pt idx="22">
                    <c:v>Jan</c:v>
                  </c:pt>
                  <c:pt idx="23">
                    <c:v>May</c:v>
                  </c:pt>
                  <c:pt idx="24">
                    <c:v>Sep</c:v>
                  </c:pt>
                  <c:pt idx="25">
                    <c:v>Oct</c:v>
                  </c:pt>
                  <c:pt idx="26">
                    <c:v>Nov</c:v>
                  </c:pt>
                  <c:pt idx="27">
                    <c:v>Jan</c:v>
                  </c:pt>
                  <c:pt idx="28">
                    <c:v>Feb</c:v>
                  </c:pt>
                  <c:pt idx="29">
                    <c:v>Apr</c:v>
                  </c:pt>
                  <c:pt idx="30">
                    <c:v>Sep</c:v>
                  </c:pt>
                  <c:pt idx="31">
                    <c:v>Dec</c:v>
                  </c:pt>
                  <c:pt idx="32">
                    <c:v>Feb</c:v>
                  </c:pt>
                </c:lvl>
                <c:lvl>
                  <c:pt idx="0">
                    <c:v>2019</c:v>
                  </c:pt>
                  <c:pt idx="12">
                    <c:v>2020</c:v>
                  </c:pt>
                  <c:pt idx="18">
                    <c:v>2021</c:v>
                  </c:pt>
                  <c:pt idx="20">
                    <c:v>2022</c:v>
                  </c:pt>
                  <c:pt idx="22">
                    <c:v>2023</c:v>
                  </c:pt>
                  <c:pt idx="27">
                    <c:v>2024</c:v>
                  </c:pt>
                  <c:pt idx="32">
                    <c:v>2025</c:v>
                  </c:pt>
                </c:lvl>
              </c:multiLvlStrCache>
            </c:multiLvlStrRef>
          </c:cat>
          <c:val>
            <c:numRef>
              <c:f>Sheet3!$E$5:$E$38</c:f>
              <c:numCache>
                <c:formatCode>General</c:formatCode>
                <c:ptCount val="33"/>
                <c:pt idx="11">
                  <c:v>70</c:v>
                </c:pt>
              </c:numCache>
            </c:numRef>
          </c:val>
          <c:smooth val="0"/>
        </c:ser>
        <c:ser>
          <c:idx val="3"/>
          <c:order val="3"/>
          <c:tx>
            <c:strRef>
              <c:f>Sheet3!$F$3:$F$4</c:f>
              <c:strCache>
                <c:ptCount val="1"/>
                <c:pt idx="0">
                  <c:v>Japan Electronic</c:v>
                </c:pt>
              </c:strCache>
            </c:strRef>
          </c:tx>
          <c:spPr>
            <a:ln w="28575" cap="rnd">
              <a:solidFill>
                <a:schemeClr val="tx1">
                  <a:lumMod val="95000"/>
                  <a:lumOff val="5000"/>
                </a:schemeClr>
              </a:solidFill>
              <a:round/>
            </a:ln>
            <a:effectLst/>
          </c:spPr>
          <c:marker>
            <c:symbol val="none"/>
          </c:marker>
          <c:cat>
            <c:multiLvlStrRef>
              <c:f>Sheet3!$A$5:$B$38</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Aug</c:v>
                  </c:pt>
                  <c:pt idx="16">
                    <c:v>Sep</c:v>
                  </c:pt>
                  <c:pt idx="17">
                    <c:v>Nov</c:v>
                  </c:pt>
                  <c:pt idx="18">
                    <c:v>Mar</c:v>
                  </c:pt>
                  <c:pt idx="19">
                    <c:v>Dec</c:v>
                  </c:pt>
                  <c:pt idx="20">
                    <c:v>Jan</c:v>
                  </c:pt>
                  <c:pt idx="21">
                    <c:v>Nov</c:v>
                  </c:pt>
                  <c:pt idx="22">
                    <c:v>Jan</c:v>
                  </c:pt>
                  <c:pt idx="23">
                    <c:v>May</c:v>
                  </c:pt>
                  <c:pt idx="24">
                    <c:v>Sep</c:v>
                  </c:pt>
                  <c:pt idx="25">
                    <c:v>Oct</c:v>
                  </c:pt>
                  <c:pt idx="26">
                    <c:v>Nov</c:v>
                  </c:pt>
                  <c:pt idx="27">
                    <c:v>Jan</c:v>
                  </c:pt>
                  <c:pt idx="28">
                    <c:v>Feb</c:v>
                  </c:pt>
                  <c:pt idx="29">
                    <c:v>Apr</c:v>
                  </c:pt>
                  <c:pt idx="30">
                    <c:v>Sep</c:v>
                  </c:pt>
                  <c:pt idx="31">
                    <c:v>Dec</c:v>
                  </c:pt>
                  <c:pt idx="32">
                    <c:v>Feb</c:v>
                  </c:pt>
                </c:lvl>
                <c:lvl>
                  <c:pt idx="0">
                    <c:v>2019</c:v>
                  </c:pt>
                  <c:pt idx="12">
                    <c:v>2020</c:v>
                  </c:pt>
                  <c:pt idx="18">
                    <c:v>2021</c:v>
                  </c:pt>
                  <c:pt idx="20">
                    <c:v>2022</c:v>
                  </c:pt>
                  <c:pt idx="22">
                    <c:v>2023</c:v>
                  </c:pt>
                  <c:pt idx="27">
                    <c:v>2024</c:v>
                  </c:pt>
                  <c:pt idx="32">
                    <c:v>2025</c:v>
                  </c:pt>
                </c:lvl>
              </c:multiLvlStrCache>
            </c:multiLvlStrRef>
          </c:cat>
          <c:val>
            <c:numRef>
              <c:f>Sheet3!$F$5:$F$38</c:f>
              <c:numCache>
                <c:formatCode>General</c:formatCode>
                <c:ptCount val="33"/>
                <c:pt idx="0">
                  <c:v>37</c:v>
                </c:pt>
                <c:pt idx="3">
                  <c:v>36</c:v>
                </c:pt>
                <c:pt idx="4">
                  <c:v>27</c:v>
                </c:pt>
                <c:pt idx="5">
                  <c:v>12</c:v>
                </c:pt>
                <c:pt idx="7">
                  <c:v>13</c:v>
                </c:pt>
                <c:pt idx="8">
                  <c:v>47</c:v>
                </c:pt>
                <c:pt idx="9">
                  <c:v>16</c:v>
                </c:pt>
                <c:pt idx="10">
                  <c:v>173</c:v>
                </c:pt>
                <c:pt idx="11">
                  <c:v>207</c:v>
                </c:pt>
                <c:pt idx="16">
                  <c:v>14</c:v>
                </c:pt>
              </c:numCache>
            </c:numRef>
          </c:val>
          <c:smooth val="0"/>
        </c:ser>
        <c:dLbls>
          <c:showLegendKey val="0"/>
          <c:showVal val="0"/>
          <c:showCatName val="0"/>
          <c:showSerName val="0"/>
          <c:showPercent val="0"/>
          <c:showBubbleSize val="0"/>
        </c:dLbls>
        <c:smooth val="0"/>
        <c:axId val="-1202080240"/>
        <c:axId val="-895156944"/>
      </c:lineChart>
      <c:catAx>
        <c:axId val="-120208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95156944"/>
        <c:crosses val="autoZero"/>
        <c:auto val="1"/>
        <c:lblAlgn val="ctr"/>
        <c:lblOffset val="100"/>
        <c:noMultiLvlLbl val="0"/>
      </c:catAx>
      <c:valAx>
        <c:axId val="-895156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GB"/>
                  <a:t>USD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02080240"/>
        <c:crosses val="autoZero"/>
        <c:crossBetween val="between"/>
      </c:valAx>
      <c:spPr>
        <a:solidFill>
          <a:schemeClr val="bg1">
            <a:lumMod val="75000"/>
          </a:schemeClr>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shop.xlsx]Sheet3 (2)!PivotTable2</c:name>
    <c:fmtId val="4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Sales</a:t>
            </a:r>
            <a:r>
              <a:rPr lang="en-US" sz="2000" baseline="0"/>
              <a:t> by Country</a:t>
            </a:r>
            <a:endParaRPr lang="en-US" sz="2000"/>
          </a:p>
        </c:rich>
      </c:tx>
      <c:layout/>
      <c:overlay val="0"/>
      <c:spPr>
        <a:solidFill>
          <a:schemeClr val="bg1">
            <a:lumMod val="65000"/>
          </a:schemeClr>
        </a:solid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solidFill>
              <a:schemeClr val="tx1">
                <a:lumMod val="75000"/>
                <a:lumOff val="25000"/>
              </a:schemeClr>
            </a:solidFill>
          </a:ln>
          <a:effectLst/>
        </c:spPr>
      </c:pivotFmt>
      <c:pivotFmt>
        <c:idx val="2"/>
        <c:spPr>
          <a:solidFill>
            <a:schemeClr val="bg1">
              <a:lumMod val="50000"/>
            </a:schemeClr>
          </a:solidFill>
          <a:ln>
            <a:solidFill>
              <a:schemeClr val="tx1">
                <a:lumMod val="75000"/>
                <a:lumOff val="25000"/>
              </a:schemeClr>
            </a:solidFill>
          </a:ln>
          <a:effectLst/>
        </c:spPr>
      </c:pivotFmt>
      <c:pivotFmt>
        <c:idx val="3"/>
        <c:spPr>
          <a:solidFill>
            <a:schemeClr val="bg1">
              <a:lumMod val="50000"/>
            </a:schemeClr>
          </a:solidFill>
          <a:ln>
            <a:solidFill>
              <a:schemeClr val="tx1">
                <a:lumMod val="75000"/>
                <a:lumOff val="25000"/>
              </a:schemeClr>
            </a:solidFill>
          </a:ln>
          <a:effectLst/>
        </c:spPr>
      </c:pivotFmt>
      <c:pivotFmt>
        <c:idx val="4"/>
        <c:spPr>
          <a:solidFill>
            <a:schemeClr val="bg1">
              <a:lumMod val="50000"/>
            </a:schemeClr>
          </a:solidFill>
          <a:ln>
            <a:solidFill>
              <a:schemeClr val="tx1">
                <a:lumMod val="75000"/>
                <a:lumOff val="25000"/>
              </a:schemeClr>
            </a:solidFill>
          </a:ln>
          <a:effectLst/>
        </c:spPr>
      </c:pivotFmt>
      <c:pivotFmt>
        <c:idx val="5"/>
        <c:spPr>
          <a:solidFill>
            <a:schemeClr val="bg1">
              <a:lumMod val="50000"/>
            </a:schemeClr>
          </a:solidFill>
          <a:ln>
            <a:solidFill>
              <a:schemeClr val="tx1">
                <a:lumMod val="75000"/>
                <a:lumOff val="25000"/>
              </a:schemeClr>
            </a:solidFill>
          </a:ln>
          <a:effectLst/>
        </c:spPr>
      </c:pivotFmt>
      <c:pivotFmt>
        <c:idx val="6"/>
        <c:spPr>
          <a:solidFill>
            <a:schemeClr val="bg1">
              <a:lumMod val="50000"/>
            </a:schemeClr>
          </a:solidFill>
          <a:ln>
            <a:solidFill>
              <a:schemeClr val="tx1">
                <a:lumMod val="75000"/>
                <a:lumOff val="25000"/>
              </a:schemeClr>
            </a:solidFill>
          </a:ln>
          <a:effectLst/>
        </c:spPr>
      </c:pivotFmt>
      <c:pivotFmt>
        <c:idx val="7"/>
        <c:spPr>
          <a:solidFill>
            <a:schemeClr val="bg1">
              <a:lumMod val="50000"/>
            </a:schemeClr>
          </a:solidFill>
          <a:ln>
            <a:solidFill>
              <a:schemeClr val="tx1">
                <a:lumMod val="75000"/>
                <a:lumOff val="25000"/>
              </a:schemeClr>
            </a:solidFill>
          </a:ln>
          <a:effectLst/>
        </c:spPr>
      </c:pivotFmt>
      <c:pivotFmt>
        <c:idx val="8"/>
        <c:spPr>
          <a:solidFill>
            <a:schemeClr val="accent1"/>
          </a:solidFill>
          <a:ln>
            <a:noFill/>
          </a:ln>
          <a:effectLst/>
        </c:spPr>
        <c:marker>
          <c:symbol val="none"/>
        </c:marker>
      </c:pivotFmt>
      <c:pivotFmt>
        <c:idx val="9"/>
        <c:spPr>
          <a:solidFill>
            <a:schemeClr val="bg1">
              <a:lumMod val="50000"/>
            </a:schemeClr>
          </a:solidFill>
          <a:ln>
            <a:solidFill>
              <a:schemeClr val="tx1">
                <a:lumMod val="75000"/>
                <a:lumOff val="25000"/>
              </a:schemeClr>
            </a:solidFill>
          </a:ln>
          <a:effectLst/>
        </c:spPr>
      </c:pivotFmt>
      <c:pivotFmt>
        <c:idx val="10"/>
        <c:spPr>
          <a:solidFill>
            <a:schemeClr val="bg1">
              <a:lumMod val="50000"/>
            </a:schemeClr>
          </a:solidFill>
          <a:ln>
            <a:solidFill>
              <a:schemeClr val="tx1">
                <a:lumMod val="75000"/>
                <a:lumOff val="25000"/>
              </a:schemeClr>
            </a:solidFill>
          </a:ln>
          <a:effectLst/>
        </c:spPr>
      </c:pivotFmt>
      <c:pivotFmt>
        <c:idx val="11"/>
        <c:spPr>
          <a:solidFill>
            <a:schemeClr val="bg1">
              <a:lumMod val="50000"/>
            </a:schemeClr>
          </a:solidFill>
          <a:ln>
            <a:solidFill>
              <a:schemeClr val="tx1">
                <a:lumMod val="75000"/>
                <a:lumOff val="25000"/>
              </a:schemeClr>
            </a:solidFill>
          </a:ln>
          <a:effectLst/>
        </c:spPr>
      </c:pivotFmt>
      <c:pivotFmt>
        <c:idx val="12"/>
        <c:spPr>
          <a:solidFill>
            <a:schemeClr val="bg1">
              <a:lumMod val="50000"/>
            </a:schemeClr>
          </a:solidFill>
          <a:ln>
            <a:solidFill>
              <a:schemeClr val="tx1">
                <a:lumMod val="75000"/>
                <a:lumOff val="25000"/>
              </a:schemeClr>
            </a:solidFill>
          </a:ln>
          <a:effectLst/>
        </c:spPr>
      </c:pivotFmt>
      <c:pivotFmt>
        <c:idx val="13"/>
        <c:spPr>
          <a:solidFill>
            <a:schemeClr val="bg1">
              <a:lumMod val="50000"/>
            </a:schemeClr>
          </a:solidFill>
          <a:ln>
            <a:solidFill>
              <a:schemeClr val="tx1">
                <a:lumMod val="75000"/>
                <a:lumOff val="25000"/>
              </a:schemeClr>
            </a:solidFill>
          </a:ln>
          <a:effectLst/>
        </c:spPr>
      </c:pivotFmt>
      <c:pivotFmt>
        <c:idx val="14"/>
        <c:spPr>
          <a:solidFill>
            <a:schemeClr val="bg1">
              <a:lumMod val="50000"/>
            </a:schemeClr>
          </a:solidFill>
          <a:ln>
            <a:solidFill>
              <a:schemeClr val="tx1">
                <a:lumMod val="75000"/>
                <a:lumOff val="25000"/>
              </a:schemeClr>
            </a:solidFill>
          </a:ln>
          <a:effectLst/>
        </c:spPr>
      </c:pivotFmt>
      <c:pivotFmt>
        <c:idx val="15"/>
        <c:spPr>
          <a:solidFill>
            <a:schemeClr val="bg1">
              <a:lumMod val="50000"/>
            </a:schemeClr>
          </a:solidFill>
          <a:ln>
            <a:solidFill>
              <a:schemeClr val="tx1">
                <a:lumMod val="75000"/>
                <a:lumOff val="25000"/>
              </a:schemeClr>
            </a:solidFill>
          </a:ln>
          <a:effectLst/>
        </c:spPr>
      </c:pivotFmt>
      <c:pivotFmt>
        <c:idx val="16"/>
        <c:spPr>
          <a:solidFill>
            <a:schemeClr val="accent1"/>
          </a:solidFill>
          <a:ln>
            <a:noFill/>
          </a:ln>
          <a:effectLst/>
        </c:spPr>
        <c:marker>
          <c:symbol val="none"/>
        </c:marker>
      </c:pivotFmt>
      <c:pivotFmt>
        <c:idx val="17"/>
        <c:spPr>
          <a:solidFill>
            <a:schemeClr val="bg1">
              <a:lumMod val="50000"/>
            </a:schemeClr>
          </a:solidFill>
          <a:ln>
            <a:solidFill>
              <a:schemeClr val="tx1">
                <a:lumMod val="75000"/>
                <a:lumOff val="25000"/>
              </a:schemeClr>
            </a:solidFill>
          </a:ln>
          <a:effectLst/>
        </c:spPr>
      </c:pivotFmt>
      <c:pivotFmt>
        <c:idx val="18"/>
        <c:spPr>
          <a:solidFill>
            <a:schemeClr val="bg1">
              <a:lumMod val="50000"/>
            </a:schemeClr>
          </a:solidFill>
          <a:ln>
            <a:solidFill>
              <a:schemeClr val="tx1">
                <a:lumMod val="75000"/>
                <a:lumOff val="25000"/>
              </a:schemeClr>
            </a:solidFill>
          </a:ln>
          <a:effectLst/>
        </c:spPr>
      </c:pivotFmt>
      <c:pivotFmt>
        <c:idx val="19"/>
        <c:spPr>
          <a:solidFill>
            <a:schemeClr val="bg1">
              <a:lumMod val="50000"/>
            </a:schemeClr>
          </a:solidFill>
          <a:ln>
            <a:solidFill>
              <a:schemeClr val="tx1">
                <a:lumMod val="75000"/>
                <a:lumOff val="25000"/>
              </a:schemeClr>
            </a:solidFill>
          </a:ln>
          <a:effectLst/>
        </c:spPr>
      </c:pivotFmt>
      <c:pivotFmt>
        <c:idx val="20"/>
        <c:spPr>
          <a:solidFill>
            <a:schemeClr val="bg1">
              <a:lumMod val="50000"/>
            </a:schemeClr>
          </a:solidFill>
          <a:ln>
            <a:solidFill>
              <a:schemeClr val="tx1">
                <a:lumMod val="75000"/>
                <a:lumOff val="25000"/>
              </a:schemeClr>
            </a:solidFill>
          </a:ln>
          <a:effectLst/>
        </c:spPr>
      </c:pivotFmt>
      <c:pivotFmt>
        <c:idx val="21"/>
        <c:spPr>
          <a:solidFill>
            <a:schemeClr val="bg1">
              <a:lumMod val="50000"/>
            </a:schemeClr>
          </a:solidFill>
          <a:ln>
            <a:solidFill>
              <a:schemeClr val="tx1">
                <a:lumMod val="75000"/>
                <a:lumOff val="25000"/>
              </a:schemeClr>
            </a:solidFill>
          </a:ln>
          <a:effectLst/>
        </c:spPr>
      </c:pivotFmt>
      <c:pivotFmt>
        <c:idx val="22"/>
        <c:spPr>
          <a:solidFill>
            <a:schemeClr val="bg1">
              <a:lumMod val="50000"/>
            </a:schemeClr>
          </a:solidFill>
          <a:ln>
            <a:solidFill>
              <a:schemeClr val="tx1">
                <a:lumMod val="75000"/>
                <a:lumOff val="25000"/>
              </a:schemeClr>
            </a:solidFill>
          </a:ln>
          <a:effectLst/>
        </c:spPr>
      </c:pivotFmt>
      <c:pivotFmt>
        <c:idx val="23"/>
        <c:spPr>
          <a:solidFill>
            <a:schemeClr val="bg1">
              <a:lumMod val="50000"/>
            </a:schemeClr>
          </a:solidFill>
          <a:ln>
            <a:solidFill>
              <a:schemeClr val="tx1">
                <a:lumMod val="75000"/>
                <a:lumOff val="25000"/>
              </a:schemeClr>
            </a:solidFill>
          </a:ln>
          <a:effectLst/>
        </c:spPr>
      </c:pivotFmt>
    </c:pivotFmts>
    <c:plotArea>
      <c:layout/>
      <c:barChart>
        <c:barDir val="bar"/>
        <c:grouping val="clustered"/>
        <c:varyColors val="0"/>
        <c:ser>
          <c:idx val="0"/>
          <c:order val="0"/>
          <c:tx>
            <c:strRef>
              <c:f>'Sheet3 (2)'!$B$3</c:f>
              <c:strCache>
                <c:ptCount val="1"/>
                <c:pt idx="0">
                  <c:v>Total</c:v>
                </c:pt>
              </c:strCache>
            </c:strRef>
          </c:tx>
          <c:spPr>
            <a:solidFill>
              <a:schemeClr val="accent1"/>
            </a:solidFill>
            <a:ln>
              <a:noFill/>
            </a:ln>
            <a:effectLst/>
          </c:spPr>
          <c:invertIfNegative val="0"/>
          <c:dPt>
            <c:idx val="0"/>
            <c:invertIfNegative val="0"/>
            <c:bubble3D val="0"/>
            <c:spPr>
              <a:solidFill>
                <a:schemeClr val="bg1">
                  <a:lumMod val="50000"/>
                </a:schemeClr>
              </a:solidFill>
              <a:ln>
                <a:solidFill>
                  <a:schemeClr val="tx1">
                    <a:lumMod val="75000"/>
                    <a:lumOff val="25000"/>
                  </a:schemeClr>
                </a:solidFill>
              </a:ln>
              <a:effectLst/>
            </c:spPr>
          </c:dPt>
          <c:dPt>
            <c:idx val="1"/>
            <c:invertIfNegative val="0"/>
            <c:bubble3D val="0"/>
            <c:spPr>
              <a:solidFill>
                <a:schemeClr val="bg1">
                  <a:lumMod val="50000"/>
                </a:schemeClr>
              </a:solidFill>
              <a:ln>
                <a:solidFill>
                  <a:schemeClr val="tx1">
                    <a:lumMod val="75000"/>
                    <a:lumOff val="25000"/>
                  </a:schemeClr>
                </a:solidFill>
              </a:ln>
              <a:effectLst/>
            </c:spPr>
          </c:dPt>
          <c:dPt>
            <c:idx val="2"/>
            <c:invertIfNegative val="0"/>
            <c:bubble3D val="0"/>
            <c:spPr>
              <a:solidFill>
                <a:schemeClr val="bg1">
                  <a:lumMod val="50000"/>
                </a:schemeClr>
              </a:solidFill>
              <a:ln>
                <a:solidFill>
                  <a:schemeClr val="tx1">
                    <a:lumMod val="75000"/>
                    <a:lumOff val="25000"/>
                  </a:schemeClr>
                </a:solidFill>
              </a:ln>
              <a:effectLst/>
            </c:spPr>
          </c:dPt>
          <c:dPt>
            <c:idx val="3"/>
            <c:invertIfNegative val="0"/>
            <c:bubble3D val="0"/>
            <c:spPr>
              <a:solidFill>
                <a:schemeClr val="bg1">
                  <a:lumMod val="50000"/>
                </a:schemeClr>
              </a:solidFill>
              <a:ln>
                <a:solidFill>
                  <a:schemeClr val="tx1">
                    <a:lumMod val="75000"/>
                    <a:lumOff val="25000"/>
                  </a:schemeClr>
                </a:solidFill>
              </a:ln>
              <a:effectLst/>
            </c:spPr>
          </c:dPt>
          <c:dPt>
            <c:idx val="4"/>
            <c:invertIfNegative val="0"/>
            <c:bubble3D val="0"/>
            <c:spPr>
              <a:solidFill>
                <a:schemeClr val="bg1">
                  <a:lumMod val="50000"/>
                </a:schemeClr>
              </a:solidFill>
              <a:ln>
                <a:solidFill>
                  <a:schemeClr val="tx1">
                    <a:lumMod val="75000"/>
                    <a:lumOff val="25000"/>
                  </a:schemeClr>
                </a:solidFill>
              </a:ln>
              <a:effectLst/>
            </c:spPr>
          </c:dPt>
          <c:dPt>
            <c:idx val="5"/>
            <c:invertIfNegative val="0"/>
            <c:bubble3D val="0"/>
            <c:spPr>
              <a:solidFill>
                <a:schemeClr val="bg1">
                  <a:lumMod val="50000"/>
                </a:schemeClr>
              </a:solidFill>
              <a:ln>
                <a:solidFill>
                  <a:schemeClr val="tx1">
                    <a:lumMod val="75000"/>
                    <a:lumOff val="25000"/>
                  </a:schemeClr>
                </a:solidFill>
              </a:ln>
              <a:effectLst/>
            </c:spPr>
          </c:dPt>
          <c:dPt>
            <c:idx val="6"/>
            <c:invertIfNegative val="0"/>
            <c:bubble3D val="0"/>
            <c:spPr>
              <a:solidFill>
                <a:schemeClr val="bg1">
                  <a:lumMod val="50000"/>
                </a:schemeClr>
              </a:solidFill>
              <a:ln>
                <a:solidFill>
                  <a:schemeClr val="tx1">
                    <a:lumMod val="75000"/>
                    <a:lumOff val="25000"/>
                  </a:schemeClr>
                </a:solidFill>
              </a:ln>
              <a:effectLst/>
            </c:spPr>
          </c:dPt>
          <c:cat>
            <c:strRef>
              <c:f>'Sheet3 (2)'!$A$4:$A$11</c:f>
              <c:strCache>
                <c:ptCount val="7"/>
                <c:pt idx="0">
                  <c:v>UK</c:v>
                </c:pt>
                <c:pt idx="1">
                  <c:v>Pakistan</c:v>
                </c:pt>
                <c:pt idx="2">
                  <c:v>Italy</c:v>
                </c:pt>
                <c:pt idx="3">
                  <c:v>Iceland</c:v>
                </c:pt>
                <c:pt idx="4">
                  <c:v>Germany</c:v>
                </c:pt>
                <c:pt idx="5">
                  <c:v>Dubi</c:v>
                </c:pt>
                <c:pt idx="6">
                  <c:v>Canada</c:v>
                </c:pt>
              </c:strCache>
            </c:strRef>
          </c:cat>
          <c:val>
            <c:numRef>
              <c:f>'Sheet3 (2)'!$B$4:$B$11</c:f>
              <c:numCache>
                <c:formatCode>General</c:formatCode>
                <c:ptCount val="7"/>
                <c:pt idx="0">
                  <c:v>951</c:v>
                </c:pt>
                <c:pt idx="1">
                  <c:v>325</c:v>
                </c:pt>
                <c:pt idx="2">
                  <c:v>315</c:v>
                </c:pt>
                <c:pt idx="3">
                  <c:v>246</c:v>
                </c:pt>
                <c:pt idx="4">
                  <c:v>415</c:v>
                </c:pt>
                <c:pt idx="5">
                  <c:v>278</c:v>
                </c:pt>
                <c:pt idx="6">
                  <c:v>290</c:v>
                </c:pt>
              </c:numCache>
            </c:numRef>
          </c:val>
        </c:ser>
        <c:dLbls>
          <c:showLegendKey val="0"/>
          <c:showVal val="0"/>
          <c:showCatName val="0"/>
          <c:showSerName val="0"/>
          <c:showPercent val="0"/>
          <c:showBubbleSize val="0"/>
        </c:dLbls>
        <c:gapWidth val="182"/>
        <c:axId val="-895158032"/>
        <c:axId val="-895158576"/>
      </c:barChart>
      <c:catAx>
        <c:axId val="-89515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95158576"/>
        <c:crosses val="autoZero"/>
        <c:auto val="1"/>
        <c:lblAlgn val="ctr"/>
        <c:lblOffset val="100"/>
        <c:noMultiLvlLbl val="0"/>
      </c:catAx>
      <c:valAx>
        <c:axId val="-895158576"/>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158032"/>
        <c:crosses val="autoZero"/>
        <c:crossBetween val="between"/>
      </c:valAx>
      <c:spPr>
        <a:solidFill>
          <a:schemeClr val="bg1">
            <a:lumMod val="75000"/>
          </a:schemeClr>
        </a:solidFill>
        <a:ln>
          <a:noFill/>
        </a:ln>
        <a:effectLst/>
      </c:spPr>
    </c:plotArea>
    <c:plotVisOnly val="1"/>
    <c:dispBlanksAs val="gap"/>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 shop.xlsx]Sheet3 (3)!PivotTable2</c:name>
    <c:fmtId val="4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Top</a:t>
            </a:r>
            <a:r>
              <a:rPr lang="en-US" sz="2000" baseline="0"/>
              <a:t> 6 Customer </a:t>
            </a:r>
            <a:endParaRPr lang="en-US" sz="2000"/>
          </a:p>
        </c:rich>
      </c:tx>
      <c:layout/>
      <c:overlay val="0"/>
      <c:spPr>
        <a:solidFill>
          <a:schemeClr val="bg1">
            <a:lumMod val="65000"/>
          </a:schemeClr>
        </a:solid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solidFill>
              <a:schemeClr val="tx1">
                <a:lumMod val="75000"/>
                <a:lumOff val="25000"/>
              </a:schemeClr>
            </a:solidFill>
          </a:ln>
          <a:effectLst/>
        </c:spPr>
      </c:pivotFmt>
      <c:pivotFmt>
        <c:idx val="2"/>
        <c:spPr>
          <a:solidFill>
            <a:schemeClr val="bg1">
              <a:lumMod val="50000"/>
            </a:schemeClr>
          </a:solidFill>
          <a:ln>
            <a:solidFill>
              <a:schemeClr val="tx1">
                <a:lumMod val="75000"/>
                <a:lumOff val="25000"/>
              </a:schemeClr>
            </a:solidFill>
          </a:ln>
          <a:effectLst/>
        </c:spPr>
      </c:pivotFmt>
      <c:pivotFmt>
        <c:idx val="3"/>
        <c:spPr>
          <a:solidFill>
            <a:schemeClr val="bg1">
              <a:lumMod val="50000"/>
            </a:schemeClr>
          </a:solidFill>
          <a:ln>
            <a:solidFill>
              <a:schemeClr val="tx1">
                <a:lumMod val="75000"/>
                <a:lumOff val="25000"/>
              </a:schemeClr>
            </a:solidFill>
          </a:ln>
          <a:effectLst/>
        </c:spPr>
      </c:pivotFmt>
      <c:pivotFmt>
        <c:idx val="4"/>
        <c:spPr>
          <a:solidFill>
            <a:schemeClr val="bg1">
              <a:lumMod val="50000"/>
            </a:schemeClr>
          </a:solidFill>
          <a:ln>
            <a:solidFill>
              <a:schemeClr val="tx1">
                <a:lumMod val="75000"/>
                <a:lumOff val="25000"/>
              </a:schemeClr>
            </a:solidFill>
          </a:ln>
          <a:effectLst/>
        </c:spPr>
      </c:pivotFmt>
      <c:pivotFmt>
        <c:idx val="5"/>
        <c:spPr>
          <a:solidFill>
            <a:schemeClr val="bg1">
              <a:lumMod val="50000"/>
            </a:schemeClr>
          </a:solidFill>
          <a:ln>
            <a:solidFill>
              <a:schemeClr val="tx1">
                <a:lumMod val="75000"/>
                <a:lumOff val="25000"/>
              </a:schemeClr>
            </a:solidFill>
          </a:ln>
          <a:effectLst/>
        </c:spPr>
      </c:pivotFmt>
      <c:pivotFmt>
        <c:idx val="6"/>
        <c:spPr>
          <a:solidFill>
            <a:schemeClr val="bg1">
              <a:lumMod val="50000"/>
            </a:schemeClr>
          </a:solidFill>
          <a:ln>
            <a:solidFill>
              <a:schemeClr val="tx1">
                <a:lumMod val="75000"/>
                <a:lumOff val="25000"/>
              </a:schemeClr>
            </a:solidFill>
          </a:ln>
          <a:effectLst/>
        </c:spPr>
      </c:pivotFmt>
      <c:pivotFmt>
        <c:idx val="7"/>
        <c:spPr>
          <a:solidFill>
            <a:schemeClr val="bg1">
              <a:lumMod val="50000"/>
            </a:schemeClr>
          </a:solidFill>
          <a:ln>
            <a:solidFill>
              <a:schemeClr val="tx1">
                <a:lumMod val="75000"/>
                <a:lumOff val="25000"/>
              </a:schemeClr>
            </a:solidFill>
          </a:ln>
          <a:effectLst/>
        </c:spPr>
      </c:pivotFmt>
      <c:pivotFmt>
        <c:idx val="8"/>
        <c:spPr>
          <a:solidFill>
            <a:schemeClr val="accent1"/>
          </a:solidFill>
          <a:ln>
            <a:noFill/>
          </a:ln>
          <a:effectLst/>
        </c:spPr>
        <c:marker>
          <c:symbol val="none"/>
        </c:marker>
      </c:pivotFmt>
      <c:pivotFmt>
        <c:idx val="9"/>
        <c:spPr>
          <a:solidFill>
            <a:schemeClr val="bg1">
              <a:lumMod val="50000"/>
            </a:schemeClr>
          </a:solidFill>
          <a:ln>
            <a:solidFill>
              <a:schemeClr val="tx1">
                <a:lumMod val="75000"/>
                <a:lumOff val="25000"/>
              </a:schemeClr>
            </a:solidFill>
          </a:ln>
          <a:effectLst/>
        </c:spPr>
      </c:pivotFmt>
      <c:pivotFmt>
        <c:idx val="10"/>
        <c:spPr>
          <a:solidFill>
            <a:schemeClr val="bg1">
              <a:lumMod val="50000"/>
            </a:schemeClr>
          </a:solidFill>
          <a:ln>
            <a:solidFill>
              <a:schemeClr val="tx1">
                <a:lumMod val="75000"/>
                <a:lumOff val="25000"/>
              </a:schemeClr>
            </a:solidFill>
          </a:ln>
          <a:effectLst/>
        </c:spPr>
      </c:pivotFmt>
      <c:pivotFmt>
        <c:idx val="11"/>
        <c:spPr>
          <a:solidFill>
            <a:schemeClr val="bg1">
              <a:lumMod val="50000"/>
            </a:schemeClr>
          </a:solidFill>
          <a:ln>
            <a:solidFill>
              <a:schemeClr val="tx1">
                <a:lumMod val="75000"/>
                <a:lumOff val="25000"/>
              </a:schemeClr>
            </a:solidFill>
          </a:ln>
          <a:effectLst/>
        </c:spPr>
      </c:pivotFmt>
      <c:pivotFmt>
        <c:idx val="12"/>
        <c:spPr>
          <a:solidFill>
            <a:schemeClr val="bg1">
              <a:lumMod val="50000"/>
            </a:schemeClr>
          </a:solidFill>
          <a:ln>
            <a:solidFill>
              <a:schemeClr val="tx1">
                <a:lumMod val="75000"/>
                <a:lumOff val="25000"/>
              </a:schemeClr>
            </a:solidFill>
          </a:ln>
          <a:effectLst/>
        </c:spPr>
      </c:pivotFmt>
      <c:pivotFmt>
        <c:idx val="13"/>
        <c:spPr>
          <a:solidFill>
            <a:schemeClr val="bg1">
              <a:lumMod val="50000"/>
            </a:schemeClr>
          </a:solidFill>
          <a:ln>
            <a:solidFill>
              <a:schemeClr val="tx1">
                <a:lumMod val="75000"/>
                <a:lumOff val="25000"/>
              </a:schemeClr>
            </a:solidFill>
          </a:ln>
          <a:effectLst/>
        </c:spPr>
      </c:pivotFmt>
      <c:pivotFmt>
        <c:idx val="14"/>
        <c:spPr>
          <a:solidFill>
            <a:schemeClr val="bg1">
              <a:lumMod val="50000"/>
            </a:schemeClr>
          </a:solidFill>
          <a:ln>
            <a:solidFill>
              <a:schemeClr val="tx1">
                <a:lumMod val="75000"/>
                <a:lumOff val="25000"/>
              </a:schemeClr>
            </a:solidFill>
          </a:ln>
          <a:effectLst/>
        </c:spPr>
      </c:pivotFmt>
      <c:pivotFmt>
        <c:idx val="15"/>
        <c:spPr>
          <a:solidFill>
            <a:schemeClr val="bg1">
              <a:lumMod val="50000"/>
            </a:schemeClr>
          </a:solidFill>
          <a:ln>
            <a:solidFill>
              <a:schemeClr val="tx1">
                <a:lumMod val="75000"/>
                <a:lumOff val="25000"/>
              </a:schemeClr>
            </a:solidFill>
          </a:ln>
          <a:effectLst/>
        </c:spPr>
      </c:pivotFmt>
      <c:pivotFmt>
        <c:idx val="16"/>
        <c:spPr>
          <a:solidFill>
            <a:schemeClr val="bg1">
              <a:lumMod val="50000"/>
            </a:schemeClr>
          </a:solidFill>
          <a:ln>
            <a:solidFill>
              <a:schemeClr val="bg1">
                <a:lumMod val="95000"/>
              </a:schemeClr>
            </a:solidFill>
          </a:ln>
          <a:effectLst/>
        </c:spPr>
      </c:pivotFmt>
      <c:pivotFmt>
        <c:idx val="17"/>
        <c:spPr>
          <a:solidFill>
            <a:schemeClr val="bg1">
              <a:lumMod val="50000"/>
            </a:schemeClr>
          </a:solidFill>
          <a:ln>
            <a:solidFill>
              <a:schemeClr val="bg1"/>
            </a:solidFill>
          </a:ln>
          <a:effectLst/>
        </c:spPr>
      </c:pivotFmt>
      <c:pivotFmt>
        <c:idx val="18"/>
        <c:spPr>
          <a:solidFill>
            <a:schemeClr val="bg1">
              <a:lumMod val="50000"/>
            </a:schemeClr>
          </a:solidFill>
          <a:ln>
            <a:solidFill>
              <a:schemeClr val="bg1"/>
            </a:solidFill>
          </a:ln>
          <a:effectLst/>
        </c:spPr>
      </c:pivotFmt>
      <c:pivotFmt>
        <c:idx val="19"/>
        <c:spPr>
          <a:solidFill>
            <a:schemeClr val="bg1">
              <a:lumMod val="50000"/>
            </a:schemeClr>
          </a:solidFill>
          <a:ln>
            <a:solidFill>
              <a:schemeClr val="bg1"/>
            </a:solidFill>
          </a:ln>
          <a:effectLst/>
        </c:spPr>
      </c:pivotFmt>
      <c:pivotFmt>
        <c:idx val="20"/>
        <c:spPr>
          <a:solidFill>
            <a:schemeClr val="bg1">
              <a:lumMod val="50000"/>
            </a:schemeClr>
          </a:solidFill>
          <a:ln>
            <a:solidFill>
              <a:schemeClr val="bg1"/>
            </a:solidFill>
          </a:ln>
          <a:effectLst/>
        </c:spPr>
      </c:pivotFmt>
      <c:pivotFmt>
        <c:idx val="21"/>
        <c:spPr>
          <a:solidFill>
            <a:schemeClr val="bg1">
              <a:lumMod val="50000"/>
            </a:schemeClr>
          </a:solidFill>
          <a:ln>
            <a:solidFill>
              <a:schemeClr val="bg1"/>
            </a:solidFill>
          </a:ln>
          <a:effectLst/>
        </c:spPr>
      </c:pivotFmt>
      <c:pivotFmt>
        <c:idx val="22"/>
        <c:spPr>
          <a:solidFill>
            <a:schemeClr val="accent1"/>
          </a:solidFill>
          <a:ln>
            <a:noFill/>
          </a:ln>
          <a:effectLst/>
        </c:spPr>
        <c:marker>
          <c:symbol val="none"/>
        </c:marker>
      </c:pivotFmt>
      <c:pivotFmt>
        <c:idx val="23"/>
        <c:spPr>
          <a:solidFill>
            <a:schemeClr val="bg1">
              <a:lumMod val="50000"/>
            </a:schemeClr>
          </a:solidFill>
          <a:ln>
            <a:solidFill>
              <a:schemeClr val="bg1"/>
            </a:solidFill>
          </a:ln>
          <a:effectLst/>
        </c:spPr>
      </c:pivotFmt>
      <c:pivotFmt>
        <c:idx val="24"/>
        <c:spPr>
          <a:solidFill>
            <a:schemeClr val="bg1">
              <a:lumMod val="50000"/>
            </a:schemeClr>
          </a:solidFill>
          <a:ln>
            <a:solidFill>
              <a:schemeClr val="bg1"/>
            </a:solidFill>
          </a:ln>
          <a:effectLst/>
        </c:spPr>
      </c:pivotFmt>
      <c:pivotFmt>
        <c:idx val="25"/>
        <c:spPr>
          <a:solidFill>
            <a:schemeClr val="bg1">
              <a:lumMod val="50000"/>
            </a:schemeClr>
          </a:solidFill>
          <a:ln>
            <a:solidFill>
              <a:schemeClr val="bg1"/>
            </a:solidFill>
          </a:ln>
          <a:effectLst/>
        </c:spPr>
      </c:pivotFmt>
      <c:pivotFmt>
        <c:idx val="26"/>
        <c:spPr>
          <a:solidFill>
            <a:schemeClr val="bg1">
              <a:lumMod val="50000"/>
            </a:schemeClr>
          </a:solidFill>
          <a:ln>
            <a:solidFill>
              <a:schemeClr val="bg1"/>
            </a:solidFill>
          </a:ln>
          <a:effectLst/>
        </c:spPr>
      </c:pivotFmt>
      <c:pivotFmt>
        <c:idx val="27"/>
        <c:spPr>
          <a:solidFill>
            <a:schemeClr val="bg1">
              <a:lumMod val="50000"/>
            </a:schemeClr>
          </a:solidFill>
          <a:ln>
            <a:solidFill>
              <a:schemeClr val="bg1"/>
            </a:solidFill>
          </a:ln>
          <a:effectLst/>
        </c:spPr>
      </c:pivotFmt>
      <c:pivotFmt>
        <c:idx val="28"/>
        <c:spPr>
          <a:solidFill>
            <a:schemeClr val="bg1">
              <a:lumMod val="50000"/>
            </a:schemeClr>
          </a:solidFill>
          <a:ln>
            <a:solidFill>
              <a:schemeClr val="bg1">
                <a:lumMod val="95000"/>
              </a:schemeClr>
            </a:solidFill>
          </a:ln>
          <a:effectLst/>
        </c:spPr>
      </c:pivotFmt>
      <c:pivotFmt>
        <c:idx val="29"/>
        <c:spPr>
          <a:solidFill>
            <a:schemeClr val="accent1"/>
          </a:solidFill>
          <a:ln>
            <a:noFill/>
          </a:ln>
          <a:effectLst/>
        </c:spPr>
        <c:marker>
          <c:symbol val="none"/>
        </c:marker>
      </c:pivotFmt>
      <c:pivotFmt>
        <c:idx val="30"/>
        <c:spPr>
          <a:solidFill>
            <a:schemeClr val="bg1">
              <a:lumMod val="50000"/>
            </a:schemeClr>
          </a:solidFill>
          <a:ln>
            <a:solidFill>
              <a:schemeClr val="bg1"/>
            </a:solidFill>
          </a:ln>
          <a:effectLst/>
        </c:spPr>
      </c:pivotFmt>
      <c:pivotFmt>
        <c:idx val="31"/>
        <c:spPr>
          <a:solidFill>
            <a:schemeClr val="bg1">
              <a:lumMod val="50000"/>
            </a:schemeClr>
          </a:solidFill>
          <a:ln>
            <a:solidFill>
              <a:schemeClr val="bg1"/>
            </a:solidFill>
          </a:ln>
          <a:effectLst/>
        </c:spPr>
      </c:pivotFmt>
      <c:pivotFmt>
        <c:idx val="32"/>
        <c:spPr>
          <a:solidFill>
            <a:schemeClr val="bg1">
              <a:lumMod val="50000"/>
            </a:schemeClr>
          </a:solidFill>
          <a:ln>
            <a:solidFill>
              <a:schemeClr val="bg1"/>
            </a:solidFill>
          </a:ln>
          <a:effectLst/>
        </c:spPr>
      </c:pivotFmt>
      <c:pivotFmt>
        <c:idx val="33"/>
        <c:spPr>
          <a:solidFill>
            <a:schemeClr val="bg1">
              <a:lumMod val="50000"/>
            </a:schemeClr>
          </a:solidFill>
          <a:ln>
            <a:solidFill>
              <a:schemeClr val="bg1"/>
            </a:solidFill>
          </a:ln>
          <a:effectLst/>
        </c:spPr>
      </c:pivotFmt>
      <c:pivotFmt>
        <c:idx val="34"/>
        <c:spPr>
          <a:solidFill>
            <a:schemeClr val="bg1">
              <a:lumMod val="50000"/>
            </a:schemeClr>
          </a:solidFill>
          <a:ln>
            <a:solidFill>
              <a:schemeClr val="bg1"/>
            </a:solidFill>
          </a:ln>
          <a:effectLst/>
        </c:spPr>
      </c:pivotFmt>
      <c:pivotFmt>
        <c:idx val="35"/>
        <c:spPr>
          <a:solidFill>
            <a:schemeClr val="bg1">
              <a:lumMod val="50000"/>
            </a:schemeClr>
          </a:solidFill>
          <a:ln>
            <a:solidFill>
              <a:schemeClr val="bg1">
                <a:lumMod val="95000"/>
              </a:schemeClr>
            </a:solidFill>
          </a:ln>
          <a:effectLst/>
        </c:spPr>
      </c:pivotFmt>
    </c:pivotFmts>
    <c:plotArea>
      <c:layout/>
      <c:barChart>
        <c:barDir val="bar"/>
        <c:grouping val="clustered"/>
        <c:varyColors val="0"/>
        <c:ser>
          <c:idx val="0"/>
          <c:order val="0"/>
          <c:tx>
            <c:strRef>
              <c:f>'Sheet3 (3)'!$B$3</c:f>
              <c:strCache>
                <c:ptCount val="1"/>
                <c:pt idx="0">
                  <c:v>Total</c:v>
                </c:pt>
              </c:strCache>
            </c:strRef>
          </c:tx>
          <c:spPr>
            <a:solidFill>
              <a:schemeClr val="accent1"/>
            </a:solidFill>
            <a:ln>
              <a:noFill/>
            </a:ln>
            <a:effectLst/>
          </c:spPr>
          <c:invertIfNegative val="0"/>
          <c:dPt>
            <c:idx val="0"/>
            <c:invertIfNegative val="0"/>
            <c:bubble3D val="0"/>
            <c:spPr>
              <a:solidFill>
                <a:schemeClr val="bg1">
                  <a:lumMod val="50000"/>
                </a:schemeClr>
              </a:solidFill>
              <a:ln>
                <a:solidFill>
                  <a:schemeClr val="bg1"/>
                </a:solidFill>
              </a:ln>
              <a:effectLst/>
            </c:spPr>
          </c:dPt>
          <c:dPt>
            <c:idx val="1"/>
            <c:invertIfNegative val="0"/>
            <c:bubble3D val="0"/>
            <c:spPr>
              <a:solidFill>
                <a:schemeClr val="bg1">
                  <a:lumMod val="50000"/>
                </a:schemeClr>
              </a:solidFill>
              <a:ln>
                <a:solidFill>
                  <a:schemeClr val="bg1"/>
                </a:solidFill>
              </a:ln>
              <a:effectLst/>
            </c:spPr>
          </c:dPt>
          <c:dPt>
            <c:idx val="2"/>
            <c:invertIfNegative val="0"/>
            <c:bubble3D val="0"/>
            <c:spPr>
              <a:solidFill>
                <a:schemeClr val="bg1">
                  <a:lumMod val="50000"/>
                </a:schemeClr>
              </a:solidFill>
              <a:ln>
                <a:solidFill>
                  <a:schemeClr val="bg1"/>
                </a:solidFill>
              </a:ln>
              <a:effectLst/>
            </c:spPr>
          </c:dPt>
          <c:dPt>
            <c:idx val="3"/>
            <c:invertIfNegative val="0"/>
            <c:bubble3D val="0"/>
            <c:spPr>
              <a:solidFill>
                <a:schemeClr val="bg1">
                  <a:lumMod val="50000"/>
                </a:schemeClr>
              </a:solidFill>
              <a:ln>
                <a:solidFill>
                  <a:schemeClr val="bg1"/>
                </a:solidFill>
              </a:ln>
              <a:effectLst/>
            </c:spPr>
          </c:dPt>
          <c:dPt>
            <c:idx val="4"/>
            <c:invertIfNegative val="0"/>
            <c:bubble3D val="0"/>
            <c:spPr>
              <a:solidFill>
                <a:schemeClr val="bg1">
                  <a:lumMod val="50000"/>
                </a:schemeClr>
              </a:solidFill>
              <a:ln>
                <a:solidFill>
                  <a:schemeClr val="bg1"/>
                </a:solidFill>
              </a:ln>
              <a:effectLst/>
            </c:spPr>
          </c:dPt>
          <c:dPt>
            <c:idx val="5"/>
            <c:invertIfNegative val="0"/>
            <c:bubble3D val="0"/>
            <c:spPr>
              <a:solidFill>
                <a:schemeClr val="bg1">
                  <a:lumMod val="50000"/>
                </a:schemeClr>
              </a:solidFill>
              <a:ln>
                <a:solidFill>
                  <a:schemeClr val="bg1">
                    <a:lumMod val="95000"/>
                  </a:schemeClr>
                </a:solidFill>
              </a:ln>
              <a:effectLst/>
            </c:spPr>
          </c:dPt>
          <c:dPt>
            <c:idx val="6"/>
            <c:invertIfNegative val="0"/>
            <c:bubble3D val="0"/>
          </c:dPt>
          <c:cat>
            <c:strRef>
              <c:f>'Sheet3 (3)'!$A$4:$A$10</c:f>
              <c:strCache>
                <c:ptCount val="6"/>
                <c:pt idx="0">
                  <c:v>Johnson</c:v>
                </c:pt>
                <c:pt idx="1">
                  <c:v>Smith</c:v>
                </c:pt>
                <c:pt idx="2">
                  <c:v>Charlie</c:v>
                </c:pt>
                <c:pt idx="3">
                  <c:v>Juan</c:v>
                </c:pt>
                <c:pt idx="4">
                  <c:v>Helen</c:v>
                </c:pt>
                <c:pt idx="5">
                  <c:v>Doug</c:v>
                </c:pt>
              </c:strCache>
            </c:strRef>
          </c:cat>
          <c:val>
            <c:numRef>
              <c:f>'Sheet3 (3)'!$B$4:$B$10</c:f>
              <c:numCache>
                <c:formatCode>General</c:formatCode>
                <c:ptCount val="6"/>
                <c:pt idx="0">
                  <c:v>65</c:v>
                </c:pt>
                <c:pt idx="1">
                  <c:v>77</c:v>
                </c:pt>
                <c:pt idx="2">
                  <c:v>99</c:v>
                </c:pt>
                <c:pt idx="3">
                  <c:v>124</c:v>
                </c:pt>
                <c:pt idx="4">
                  <c:v>143</c:v>
                </c:pt>
                <c:pt idx="5">
                  <c:v>193</c:v>
                </c:pt>
              </c:numCache>
            </c:numRef>
          </c:val>
        </c:ser>
        <c:dLbls>
          <c:showLegendKey val="0"/>
          <c:showVal val="0"/>
          <c:showCatName val="0"/>
          <c:showSerName val="0"/>
          <c:showPercent val="0"/>
          <c:showBubbleSize val="0"/>
        </c:dLbls>
        <c:gapWidth val="182"/>
        <c:axId val="-895153136"/>
        <c:axId val="-895156400"/>
      </c:barChart>
      <c:catAx>
        <c:axId val="-895153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95156400"/>
        <c:crosses val="autoZero"/>
        <c:auto val="1"/>
        <c:lblAlgn val="ctr"/>
        <c:lblOffset val="100"/>
        <c:noMultiLvlLbl val="0"/>
      </c:catAx>
      <c:valAx>
        <c:axId val="-895156400"/>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153136"/>
        <c:crosses val="autoZero"/>
        <c:crossBetween val="between"/>
      </c:valAx>
      <c:spPr>
        <a:solidFill>
          <a:schemeClr val="bg1">
            <a:lumMod val="75000"/>
          </a:schemeClr>
        </a:solidFill>
        <a:ln>
          <a:noFill/>
        </a:ln>
        <a:effectLst/>
      </c:spPr>
    </c:plotArea>
    <c:plotVisOnly val="1"/>
    <c:dispBlanksAs val="gap"/>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61</xdr:row>
      <xdr:rowOff>48986</xdr:rowOff>
    </xdr:from>
    <xdr:to>
      <xdr:col>6</xdr:col>
      <xdr:colOff>0</xdr:colOff>
      <xdr:row>85</xdr:row>
      <xdr:rowOff>99786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9072</xdr:colOff>
      <xdr:row>51</xdr:row>
      <xdr:rowOff>21772</xdr:rowOff>
    </xdr:from>
    <xdr:to>
      <xdr:col>6</xdr:col>
      <xdr:colOff>36285</xdr:colOff>
      <xdr:row>60</xdr:row>
      <xdr:rowOff>141515</xdr:rowOff>
    </xdr:to>
    <mc:AlternateContent xmlns:mc="http://schemas.openxmlformats.org/markup-compatibility/2006" xmlns:tsle="http://schemas.microsoft.com/office/drawing/2012/timeslicer">
      <mc:Choice Requires="tsle">
        <xdr:graphicFrame macro="">
          <xdr:nvGraphicFramePr>
            <xdr:cNvPr id="4" name="Order Data"/>
            <xdr:cNvGraphicFramePr/>
          </xdr:nvGraphicFramePr>
          <xdr:xfrm>
            <a:off x="0" y="0"/>
            <a:ext cx="0" cy="0"/>
          </xdr:xfrm>
          <a:graphic>
            <a:graphicData uri="http://schemas.microsoft.com/office/drawing/2012/timeslicer">
              <tsle:timeslicer name="Order Data"/>
            </a:graphicData>
          </a:graphic>
        </xdr:graphicFrame>
      </mc:Choice>
      <mc:Fallback xmlns="">
        <xdr:sp macro="" textlink="">
          <xdr:nvSpPr>
            <xdr:cNvPr id="0" name=""/>
            <xdr:cNvSpPr>
              <a:spLocks noTextEdit="1"/>
            </xdr:cNvSpPr>
          </xdr:nvSpPr>
          <xdr:spPr>
            <a:xfrm>
              <a:off x="9072" y="9274629"/>
              <a:ext cx="6458856" cy="1752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11</xdr:col>
      <xdr:colOff>250370</xdr:colOff>
      <xdr:row>55</xdr:row>
      <xdr:rowOff>100692</xdr:rowOff>
    </xdr:from>
    <xdr:to>
      <xdr:col>15</xdr:col>
      <xdr:colOff>471714</xdr:colOff>
      <xdr:row>61</xdr:row>
      <xdr:rowOff>136070</xdr:rowOff>
    </xdr:to>
    <mc:AlternateContent xmlns:mc="http://schemas.openxmlformats.org/markup-compatibility/2006" xmlns:a14="http://schemas.microsoft.com/office/drawing/2010/main">
      <mc:Choice Requires="a14">
        <xdr:graphicFrame macro="">
          <xdr:nvGraphicFramePr>
            <xdr:cNvPr id="9" name="Loyality card "/>
            <xdr:cNvGraphicFramePr/>
          </xdr:nvGraphicFramePr>
          <xdr:xfrm>
            <a:off x="0" y="0"/>
            <a:ext cx="0" cy="0"/>
          </xdr:xfrm>
          <a:graphic>
            <a:graphicData uri="http://schemas.microsoft.com/office/drawing/2010/slicer">
              <sle:slicer xmlns:sle="http://schemas.microsoft.com/office/drawing/2010/slicer" name="Loyality card "/>
            </a:graphicData>
          </a:graphic>
        </xdr:graphicFrame>
      </mc:Choice>
      <mc:Fallback xmlns="">
        <xdr:sp macro="" textlink="">
          <xdr:nvSpPr>
            <xdr:cNvPr id="0" name=""/>
            <xdr:cNvSpPr>
              <a:spLocks noTextEdit="1"/>
            </xdr:cNvSpPr>
          </xdr:nvSpPr>
          <xdr:spPr>
            <a:xfrm>
              <a:off x="9539513" y="10079263"/>
              <a:ext cx="2697844" cy="1123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82549</xdr:colOff>
      <xdr:row>55</xdr:row>
      <xdr:rowOff>99785</xdr:rowOff>
    </xdr:from>
    <xdr:to>
      <xdr:col>11</xdr:col>
      <xdr:colOff>217714</xdr:colOff>
      <xdr:row>61</xdr:row>
      <xdr:rowOff>136071</xdr:rowOff>
    </xdr:to>
    <mc:AlternateContent xmlns:mc="http://schemas.openxmlformats.org/markup-compatibility/2006" xmlns:a14="http://schemas.microsoft.com/office/drawing/2010/main">
      <mc:Choice Requires="a14">
        <xdr:graphicFrame macro="">
          <xdr:nvGraphicFramePr>
            <xdr:cNvPr id="11" name="Type"/>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6514192" y="10078356"/>
              <a:ext cx="2992665" cy="11248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69850</xdr:colOff>
      <xdr:row>51</xdr:row>
      <xdr:rowOff>4537</xdr:rowOff>
    </xdr:from>
    <xdr:to>
      <xdr:col>15</xdr:col>
      <xdr:colOff>444500</xdr:colOff>
      <xdr:row>55</xdr:row>
      <xdr:rowOff>63501</xdr:rowOff>
    </xdr:to>
    <mc:AlternateContent xmlns:mc="http://schemas.openxmlformats.org/markup-compatibility/2006" xmlns:a14="http://schemas.microsoft.com/office/drawing/2010/main">
      <mc:Choice Requires="a14">
        <xdr:graphicFrame macro="">
          <xdr:nvGraphicFramePr>
            <xdr:cNvPr id="14"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501493" y="9257394"/>
              <a:ext cx="5708650" cy="7846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61</xdr:row>
      <xdr:rowOff>48986</xdr:rowOff>
    </xdr:from>
    <xdr:to>
      <xdr:col>6</xdr:col>
      <xdr:colOff>0</xdr:colOff>
      <xdr:row>85</xdr:row>
      <xdr:rowOff>99786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9072</xdr:colOff>
      <xdr:row>51</xdr:row>
      <xdr:rowOff>21772</xdr:rowOff>
    </xdr:from>
    <xdr:to>
      <xdr:col>6</xdr:col>
      <xdr:colOff>662214</xdr:colOff>
      <xdr:row>60</xdr:row>
      <xdr:rowOff>141515</xdr:rowOff>
    </xdr:to>
    <mc:AlternateContent xmlns:mc="http://schemas.openxmlformats.org/markup-compatibility/2006" xmlns:tsle="http://schemas.microsoft.com/office/drawing/2012/timeslicer">
      <mc:Choice Requires="tsle">
        <xdr:graphicFrame macro="">
          <xdr:nvGraphicFramePr>
            <xdr:cNvPr id="3" name="Order Data 1"/>
            <xdr:cNvGraphicFramePr/>
          </xdr:nvGraphicFramePr>
          <xdr:xfrm>
            <a:off x="0" y="0"/>
            <a:ext cx="0" cy="0"/>
          </xdr:xfrm>
          <a:graphic>
            <a:graphicData uri="http://schemas.microsoft.com/office/drawing/2012/timeslicer">
              <tsle:timeslicer name="Order Data 1"/>
            </a:graphicData>
          </a:graphic>
        </xdr:graphicFrame>
      </mc:Choice>
      <mc:Fallback xmlns="">
        <xdr:sp macro="" textlink="">
          <xdr:nvSpPr>
            <xdr:cNvPr id="0" name=""/>
            <xdr:cNvSpPr>
              <a:spLocks noTextEdit="1"/>
            </xdr:cNvSpPr>
          </xdr:nvSpPr>
          <xdr:spPr>
            <a:xfrm>
              <a:off x="9072" y="9274629"/>
              <a:ext cx="6458856" cy="1752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11</xdr:col>
      <xdr:colOff>250370</xdr:colOff>
      <xdr:row>55</xdr:row>
      <xdr:rowOff>100692</xdr:rowOff>
    </xdr:from>
    <xdr:to>
      <xdr:col>15</xdr:col>
      <xdr:colOff>471714</xdr:colOff>
      <xdr:row>61</xdr:row>
      <xdr:rowOff>136070</xdr:rowOff>
    </xdr:to>
    <mc:AlternateContent xmlns:mc="http://schemas.openxmlformats.org/markup-compatibility/2006" xmlns:a14="http://schemas.microsoft.com/office/drawing/2010/main">
      <mc:Choice Requires="a14">
        <xdr:graphicFrame macro="">
          <xdr:nvGraphicFramePr>
            <xdr:cNvPr id="4" name="Loyality card  1"/>
            <xdr:cNvGraphicFramePr/>
          </xdr:nvGraphicFramePr>
          <xdr:xfrm>
            <a:off x="0" y="0"/>
            <a:ext cx="0" cy="0"/>
          </xdr:xfrm>
          <a:graphic>
            <a:graphicData uri="http://schemas.microsoft.com/office/drawing/2010/slicer">
              <sle:slicer xmlns:sle="http://schemas.microsoft.com/office/drawing/2010/slicer" name="Loyality card  1"/>
            </a:graphicData>
          </a:graphic>
        </xdr:graphicFrame>
      </mc:Choice>
      <mc:Fallback xmlns="">
        <xdr:sp macro="" textlink="">
          <xdr:nvSpPr>
            <xdr:cNvPr id="0" name=""/>
            <xdr:cNvSpPr>
              <a:spLocks noTextEdit="1"/>
            </xdr:cNvSpPr>
          </xdr:nvSpPr>
          <xdr:spPr>
            <a:xfrm>
              <a:off x="9548584" y="10079263"/>
              <a:ext cx="2697844" cy="1123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82549</xdr:colOff>
      <xdr:row>55</xdr:row>
      <xdr:rowOff>99785</xdr:rowOff>
    </xdr:from>
    <xdr:to>
      <xdr:col>10</xdr:col>
      <xdr:colOff>90714</xdr:colOff>
      <xdr:row>61</xdr:row>
      <xdr:rowOff>136071</xdr:rowOff>
    </xdr:to>
    <mc:AlternateContent xmlns:mc="http://schemas.openxmlformats.org/markup-compatibility/2006" xmlns:a14="http://schemas.microsoft.com/office/drawing/2010/main">
      <mc:Choice Requires="a14">
        <xdr:graphicFrame macro="">
          <xdr:nvGraphicFramePr>
            <xdr:cNvPr id="5" name="Type 1"/>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5888263" y="10078356"/>
              <a:ext cx="2992665" cy="11248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69850</xdr:colOff>
      <xdr:row>51</xdr:row>
      <xdr:rowOff>4537</xdr:rowOff>
    </xdr:from>
    <xdr:to>
      <xdr:col>14</xdr:col>
      <xdr:colOff>417285</xdr:colOff>
      <xdr:row>55</xdr:row>
      <xdr:rowOff>63501</xdr:rowOff>
    </xdr:to>
    <mc:AlternateContent xmlns:mc="http://schemas.openxmlformats.org/markup-compatibility/2006" xmlns:a14="http://schemas.microsoft.com/office/drawing/2010/main">
      <mc:Choice Requires="a14">
        <xdr:graphicFrame macro="">
          <xdr:nvGraphicFramePr>
            <xdr:cNvPr id="6"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875564" y="9257394"/>
              <a:ext cx="5708650" cy="7846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435429</xdr:colOff>
      <xdr:row>1</xdr:row>
      <xdr:rowOff>52614</xdr:rowOff>
    </xdr:from>
    <xdr:to>
      <xdr:col>7</xdr:col>
      <xdr:colOff>625929</xdr:colOff>
      <xdr:row>21</xdr:row>
      <xdr:rowOff>18143</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61</xdr:row>
      <xdr:rowOff>48986</xdr:rowOff>
    </xdr:from>
    <xdr:to>
      <xdr:col>6</xdr:col>
      <xdr:colOff>0</xdr:colOff>
      <xdr:row>85</xdr:row>
      <xdr:rowOff>99786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9072</xdr:colOff>
      <xdr:row>51</xdr:row>
      <xdr:rowOff>21772</xdr:rowOff>
    </xdr:from>
    <xdr:to>
      <xdr:col>6</xdr:col>
      <xdr:colOff>163285</xdr:colOff>
      <xdr:row>60</xdr:row>
      <xdr:rowOff>141515</xdr:rowOff>
    </xdr:to>
    <mc:AlternateContent xmlns:mc="http://schemas.openxmlformats.org/markup-compatibility/2006" xmlns:tsle="http://schemas.microsoft.com/office/drawing/2012/timeslicer">
      <mc:Choice Requires="tsle">
        <xdr:graphicFrame macro="">
          <xdr:nvGraphicFramePr>
            <xdr:cNvPr id="3" name="Order Data 2"/>
            <xdr:cNvGraphicFramePr/>
          </xdr:nvGraphicFramePr>
          <xdr:xfrm>
            <a:off x="0" y="0"/>
            <a:ext cx="0" cy="0"/>
          </xdr:xfrm>
          <a:graphic>
            <a:graphicData uri="http://schemas.microsoft.com/office/drawing/2012/timeslicer">
              <tsle:timeslicer name="Order Data 2"/>
            </a:graphicData>
          </a:graphic>
        </xdr:graphicFrame>
      </mc:Choice>
      <mc:Fallback xmlns="">
        <xdr:sp macro="" textlink="">
          <xdr:nvSpPr>
            <xdr:cNvPr id="0" name=""/>
            <xdr:cNvSpPr>
              <a:spLocks noTextEdit="1"/>
            </xdr:cNvSpPr>
          </xdr:nvSpPr>
          <xdr:spPr>
            <a:xfrm>
              <a:off x="9072" y="9274629"/>
              <a:ext cx="6458856" cy="1752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11</xdr:col>
      <xdr:colOff>250370</xdr:colOff>
      <xdr:row>55</xdr:row>
      <xdr:rowOff>100692</xdr:rowOff>
    </xdr:from>
    <xdr:to>
      <xdr:col>15</xdr:col>
      <xdr:colOff>471714</xdr:colOff>
      <xdr:row>61</xdr:row>
      <xdr:rowOff>136070</xdr:rowOff>
    </xdr:to>
    <mc:AlternateContent xmlns:mc="http://schemas.openxmlformats.org/markup-compatibility/2006" xmlns:a14="http://schemas.microsoft.com/office/drawing/2010/main">
      <mc:Choice Requires="a14">
        <xdr:graphicFrame macro="">
          <xdr:nvGraphicFramePr>
            <xdr:cNvPr id="4" name="Loyality card  2"/>
            <xdr:cNvGraphicFramePr/>
          </xdr:nvGraphicFramePr>
          <xdr:xfrm>
            <a:off x="0" y="0"/>
            <a:ext cx="0" cy="0"/>
          </xdr:xfrm>
          <a:graphic>
            <a:graphicData uri="http://schemas.microsoft.com/office/drawing/2010/slicer">
              <sle:slicer xmlns:sle="http://schemas.microsoft.com/office/drawing/2010/slicer" name="Loyality card  2"/>
            </a:graphicData>
          </a:graphic>
        </xdr:graphicFrame>
      </mc:Choice>
      <mc:Fallback xmlns="">
        <xdr:sp macro="" textlink="">
          <xdr:nvSpPr>
            <xdr:cNvPr id="0" name=""/>
            <xdr:cNvSpPr>
              <a:spLocks noTextEdit="1"/>
            </xdr:cNvSpPr>
          </xdr:nvSpPr>
          <xdr:spPr>
            <a:xfrm>
              <a:off x="10047513" y="10079263"/>
              <a:ext cx="2697844" cy="1123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82549</xdr:colOff>
      <xdr:row>55</xdr:row>
      <xdr:rowOff>99785</xdr:rowOff>
    </xdr:from>
    <xdr:to>
      <xdr:col>10</xdr:col>
      <xdr:colOff>90714</xdr:colOff>
      <xdr:row>61</xdr:row>
      <xdr:rowOff>136071</xdr:rowOff>
    </xdr:to>
    <mc:AlternateContent xmlns:mc="http://schemas.openxmlformats.org/markup-compatibility/2006" xmlns:a14="http://schemas.microsoft.com/office/drawing/2010/main">
      <mc:Choice Requires="a14">
        <xdr:graphicFrame macro="">
          <xdr:nvGraphicFramePr>
            <xdr:cNvPr id="5" name="Type 2"/>
            <xdr:cNvGraphicFramePr/>
          </xdr:nvGraphicFramePr>
          <xdr:xfrm>
            <a:off x="0" y="0"/>
            <a:ext cx="0" cy="0"/>
          </xdr:xfrm>
          <a:graphic>
            <a:graphicData uri="http://schemas.microsoft.com/office/drawing/2010/slicer">
              <sle:slicer xmlns:sle="http://schemas.microsoft.com/office/drawing/2010/slicer" name="Type 2"/>
            </a:graphicData>
          </a:graphic>
        </xdr:graphicFrame>
      </mc:Choice>
      <mc:Fallback xmlns="">
        <xdr:sp macro="" textlink="">
          <xdr:nvSpPr>
            <xdr:cNvPr id="0" name=""/>
            <xdr:cNvSpPr>
              <a:spLocks noTextEdit="1"/>
            </xdr:cNvSpPr>
          </xdr:nvSpPr>
          <xdr:spPr>
            <a:xfrm>
              <a:off x="6387192" y="10078356"/>
              <a:ext cx="2992665" cy="11248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69850</xdr:colOff>
      <xdr:row>51</xdr:row>
      <xdr:rowOff>4537</xdr:rowOff>
    </xdr:from>
    <xdr:to>
      <xdr:col>14</xdr:col>
      <xdr:colOff>417286</xdr:colOff>
      <xdr:row>55</xdr:row>
      <xdr:rowOff>63501</xdr:rowOff>
    </xdr:to>
    <mc:AlternateContent xmlns:mc="http://schemas.openxmlformats.org/markup-compatibility/2006" xmlns:a14="http://schemas.microsoft.com/office/drawing/2010/main">
      <mc:Choice Requires="a14">
        <xdr:graphicFrame macro="">
          <xdr:nvGraphicFramePr>
            <xdr:cNvPr id="6" name="Country 2"/>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6374493" y="9257394"/>
              <a:ext cx="5708650" cy="7846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435429</xdr:colOff>
      <xdr:row>1</xdr:row>
      <xdr:rowOff>52614</xdr:rowOff>
    </xdr:from>
    <xdr:to>
      <xdr:col>7</xdr:col>
      <xdr:colOff>625929</xdr:colOff>
      <xdr:row>21</xdr:row>
      <xdr:rowOff>18143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12700</xdr:rowOff>
    </xdr:from>
    <xdr:to>
      <xdr:col>25</xdr:col>
      <xdr:colOff>585520</xdr:colOff>
      <xdr:row>5</xdr:row>
      <xdr:rowOff>127000</xdr:rowOff>
    </xdr:to>
    <xdr:sp macro="" textlink="">
      <xdr:nvSpPr>
        <xdr:cNvPr id="3" name="Rectangle 2"/>
        <xdr:cNvSpPr/>
      </xdr:nvSpPr>
      <xdr:spPr>
        <a:xfrm>
          <a:off x="115455" y="78674"/>
          <a:ext cx="15231753" cy="840014"/>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7</xdr:col>
      <xdr:colOff>432708</xdr:colOff>
      <xdr:row>0</xdr:row>
      <xdr:rowOff>0</xdr:rowOff>
    </xdr:from>
    <xdr:to>
      <xdr:col>18</xdr:col>
      <xdr:colOff>122366</xdr:colOff>
      <xdr:row>6</xdr:row>
      <xdr:rowOff>100932</xdr:rowOff>
    </xdr:to>
    <xdr:pic>
      <xdr:nvPicPr>
        <xdr:cNvPr id="4" name="Picture 3"/>
        <xdr:cNvPicPr>
          <a:picLocks noChangeAspect="1"/>
        </xdr:cNvPicPr>
      </xdr:nvPicPr>
      <xdr:blipFill>
        <a:blip xmlns:r="http://schemas.openxmlformats.org/officeDocument/2006/relationships" r:embed="rId1"/>
        <a:stretch>
          <a:fillRect/>
        </a:stretch>
      </xdr:blipFill>
      <xdr:spPr>
        <a:xfrm>
          <a:off x="4197351" y="0"/>
          <a:ext cx="6375301" cy="1071575"/>
        </a:xfrm>
        <a:prstGeom prst="rect">
          <a:avLst/>
        </a:prstGeom>
      </xdr:spPr>
    </xdr:pic>
    <xdr:clientData/>
  </xdr:twoCellAnchor>
  <xdr:twoCellAnchor editAs="oneCell">
    <xdr:from>
      <xdr:col>0</xdr:col>
      <xdr:colOff>107950</xdr:colOff>
      <xdr:row>6</xdr:row>
      <xdr:rowOff>0</xdr:rowOff>
    </xdr:from>
    <xdr:to>
      <xdr:col>14</xdr:col>
      <xdr:colOff>552533</xdr:colOff>
      <xdr:row>16</xdr:row>
      <xdr:rowOff>141111</xdr:rowOff>
    </xdr:to>
    <mc:AlternateContent xmlns:mc="http://schemas.openxmlformats.org/markup-compatibility/2006" xmlns:tsle="http://schemas.microsoft.com/office/drawing/2012/timeslicer">
      <mc:Choice Requires="tsle">
        <xdr:graphicFrame macro="">
          <xdr:nvGraphicFramePr>
            <xdr:cNvPr id="5" name="Order Data 3"/>
            <xdr:cNvGraphicFramePr/>
          </xdr:nvGraphicFramePr>
          <xdr:xfrm>
            <a:off x="0" y="0"/>
            <a:ext cx="0" cy="0"/>
          </xdr:xfrm>
          <a:graphic>
            <a:graphicData uri="http://schemas.microsoft.com/office/drawing/2012/timeslicer">
              <tsle:timeslicer name="Order Data 3"/>
            </a:graphicData>
          </a:graphic>
        </xdr:graphicFrame>
      </mc:Choice>
      <mc:Fallback xmlns="">
        <xdr:sp macro="" textlink="">
          <xdr:nvSpPr>
            <xdr:cNvPr id="0" name=""/>
            <xdr:cNvSpPr>
              <a:spLocks noTextEdit="1"/>
            </xdr:cNvSpPr>
          </xdr:nvSpPr>
          <xdr:spPr>
            <a:xfrm>
              <a:off x="107950" y="970643"/>
              <a:ext cx="8463726" cy="1955397"/>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xdr:col>
      <xdr:colOff>0</xdr:colOff>
      <xdr:row>17</xdr:row>
      <xdr:rowOff>51034</xdr:rowOff>
    </xdr:from>
    <xdr:to>
      <xdr:col>11</xdr:col>
      <xdr:colOff>335643</xdr:colOff>
      <xdr:row>41</xdr:row>
      <xdr:rowOff>36521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611480</xdr:colOff>
      <xdr:row>5</xdr:row>
      <xdr:rowOff>180192</xdr:rowOff>
    </xdr:from>
    <xdr:to>
      <xdr:col>25</xdr:col>
      <xdr:colOff>599721</xdr:colOff>
      <xdr:row>10</xdr:row>
      <xdr:rowOff>46841</xdr:rowOff>
    </xdr:to>
    <mc:AlternateContent xmlns:mc="http://schemas.openxmlformats.org/markup-compatibility/2006" xmlns:a14="http://schemas.microsoft.com/office/drawing/2010/main">
      <mc:Choice Requires="a14">
        <xdr:graphicFrame macro="">
          <xdr:nvGraphicFramePr>
            <xdr:cNvPr id="7" name="Country 3"/>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8630623" y="969406"/>
              <a:ext cx="6673884" cy="7737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8247</xdr:colOff>
      <xdr:row>10</xdr:row>
      <xdr:rowOff>90715</xdr:rowOff>
    </xdr:from>
    <xdr:to>
      <xdr:col>20</xdr:col>
      <xdr:colOff>458611</xdr:colOff>
      <xdr:row>16</xdr:row>
      <xdr:rowOff>152870</xdr:rowOff>
    </xdr:to>
    <mc:AlternateContent xmlns:mc="http://schemas.openxmlformats.org/markup-compatibility/2006" xmlns:a14="http://schemas.microsoft.com/office/drawing/2010/main">
      <mc:Choice Requires="a14">
        <xdr:graphicFrame macro="">
          <xdr:nvGraphicFramePr>
            <xdr:cNvPr id="8" name="Type 3"/>
            <xdr:cNvGraphicFramePr/>
          </xdr:nvGraphicFramePr>
          <xdr:xfrm>
            <a:off x="0" y="0"/>
            <a:ext cx="0" cy="0"/>
          </xdr:xfrm>
          <a:graphic>
            <a:graphicData uri="http://schemas.microsoft.com/office/drawing/2010/slicer">
              <sle:slicer xmlns:sle="http://schemas.microsoft.com/office/drawing/2010/slicer" name="Type 3"/>
            </a:graphicData>
          </a:graphic>
        </xdr:graphicFrame>
      </mc:Choice>
      <mc:Fallback xmlns="">
        <xdr:sp macro="" textlink="">
          <xdr:nvSpPr>
            <xdr:cNvPr id="0" name=""/>
            <xdr:cNvSpPr>
              <a:spLocks noTextEdit="1"/>
            </xdr:cNvSpPr>
          </xdr:nvSpPr>
          <xdr:spPr>
            <a:xfrm>
              <a:off x="8635176" y="1787072"/>
              <a:ext cx="3489292" cy="11507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482130</xdr:colOff>
      <xdr:row>10</xdr:row>
      <xdr:rowOff>82314</xdr:rowOff>
    </xdr:from>
    <xdr:to>
      <xdr:col>25</xdr:col>
      <xdr:colOff>581178</xdr:colOff>
      <xdr:row>16</xdr:row>
      <xdr:rowOff>164629</xdr:rowOff>
    </xdr:to>
    <mc:AlternateContent xmlns:mc="http://schemas.openxmlformats.org/markup-compatibility/2006" xmlns:a14="http://schemas.microsoft.com/office/drawing/2010/main">
      <mc:Choice Requires="a14">
        <xdr:graphicFrame macro="">
          <xdr:nvGraphicFramePr>
            <xdr:cNvPr id="9" name="Loyality card  3"/>
            <xdr:cNvGraphicFramePr/>
          </xdr:nvGraphicFramePr>
          <xdr:xfrm>
            <a:off x="0" y="0"/>
            <a:ext cx="0" cy="0"/>
          </xdr:xfrm>
          <a:graphic>
            <a:graphicData uri="http://schemas.microsoft.com/office/drawing/2010/slicer">
              <sle:slicer xmlns:sle="http://schemas.microsoft.com/office/drawing/2010/slicer" name="Loyality card  3"/>
            </a:graphicData>
          </a:graphic>
        </xdr:graphicFrame>
      </mc:Choice>
      <mc:Fallback xmlns="">
        <xdr:sp macro="" textlink="">
          <xdr:nvSpPr>
            <xdr:cNvPr id="0" name=""/>
            <xdr:cNvSpPr>
              <a:spLocks noTextEdit="1"/>
            </xdr:cNvSpPr>
          </xdr:nvSpPr>
          <xdr:spPr>
            <a:xfrm>
              <a:off x="12147987" y="1778671"/>
              <a:ext cx="3137977" cy="11708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376298</xdr:colOff>
      <xdr:row>26</xdr:row>
      <xdr:rowOff>82316</xdr:rowOff>
    </xdr:from>
    <xdr:to>
      <xdr:col>26</xdr:col>
      <xdr:colOff>1</xdr:colOff>
      <xdr:row>41</xdr:row>
      <xdr:rowOff>23520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364536</xdr:colOff>
      <xdr:row>17</xdr:row>
      <xdr:rowOff>23518</xdr:rowOff>
    </xdr:from>
    <xdr:to>
      <xdr:col>25</xdr:col>
      <xdr:colOff>599722</xdr:colOff>
      <xdr:row>26</xdr:row>
      <xdr:rowOff>47037</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J-LONE" refreshedDate="46182.63281087963" createdVersion="5" refreshedVersion="5" minRefreshableVersion="3" recordCount="189">
  <cacheSource type="worksheet">
    <worksheetSource name="Orders"/>
  </cacheSource>
  <cacheFields count="17">
    <cacheField name="Order ID " numFmtId="0">
      <sharedItems/>
    </cacheField>
    <cacheField name="Order Data" numFmtId="14">
      <sharedItems containsSemiMixedTypes="0" containsNonDate="0" containsDate="1" containsString="0" minDate="2019-01-13T00:00:00" maxDate="2025-02-23T00:00:00" count="185">
        <d v="2019-09-05T00:00:00"/>
        <d v="2019-09-06T00:00:00"/>
        <d v="2019-09-07T00:00:00"/>
        <d v="2019-07-08T00:00:00"/>
        <d v="2019-04-09T00:00:00"/>
        <d v="2019-08-10T00:00:00"/>
        <d v="2019-02-11T00:00:00"/>
        <d v="2019-09-12T00:00:00"/>
        <d v="2019-01-13T00:00:00"/>
        <d v="2020-09-14T00:00:00"/>
        <d v="2019-04-15T00:00:00"/>
        <d v="2019-01-16T00:00:00"/>
        <d v="2019-09-17T00:00:00"/>
        <d v="2019-09-18T00:00:00"/>
        <d v="2019-09-19T00:00:00"/>
        <d v="2019-04-20T00:00:00"/>
        <d v="2019-02-21T00:00:00"/>
        <d v="2019-09-22T00:00:00"/>
        <d v="2019-02-23T00:00:00"/>
        <d v="2019-01-24T00:00:00"/>
        <d v="2024-09-25T00:00:00"/>
        <d v="2019-02-26T00:00:00"/>
        <d v="2019-09-27T00:00:00"/>
        <d v="2019-03-28T00:00:00"/>
        <d v="2019-07-29T00:00:00"/>
        <d v="2019-05-30T00:00:00"/>
        <d v="2019-10-01T00:00:00"/>
        <d v="2019-10-02T00:00:00"/>
        <d v="2019-10-03T00:00:00"/>
        <d v="2019-03-04T00:00:00"/>
        <d v="2019-10-05T00:00:00"/>
        <d v="2019-10-06T00:00:00"/>
        <d v="2024-04-07T00:00:00"/>
        <d v="2019-04-08T00:00:00"/>
        <d v="2019-03-10T00:00:00"/>
        <d v="2019-05-11T00:00:00"/>
        <d v="2019-05-12T00:00:00"/>
        <d v="2023-05-13T00:00:00"/>
        <d v="2019-10-14T00:00:00"/>
        <d v="2019-06-15T00:00:00"/>
        <d v="2019-06-16T00:00:00"/>
        <d v="2023-10-17T00:00:00"/>
        <d v="2019-10-18T00:00:00"/>
        <d v="2019-06-19T00:00:00"/>
        <d v="2019-01-20T00:00:00"/>
        <d v="2019-07-21T00:00:00"/>
        <d v="2019-07-22T00:00:00"/>
        <d v="2019-08-23T00:00:00"/>
        <d v="2019-08-24T00:00:00"/>
        <d v="2019-08-25T00:00:00"/>
        <d v="2023-09-26T00:00:00"/>
        <d v="2019-11-27T00:00:00"/>
        <d v="2019-12-28T00:00:00"/>
        <d v="2024-12-29T00:00:00"/>
        <d v="2019-10-30T00:00:00"/>
        <d v="2019-05-31T00:00:00"/>
        <d v="2019-05-01T00:00:00"/>
        <d v="2023-11-02T00:00:00"/>
        <d v="2019-11-03T00:00:00"/>
        <d v="2019-11-04T00:00:00"/>
        <d v="2019-11-05T00:00:00"/>
        <d v="2023-11-06T00:00:00"/>
        <d v="2022-11-07T00:00:00"/>
        <d v="2019-11-08T00:00:00"/>
        <d v="2019-07-09T00:00:00"/>
        <d v="2019-12-10T00:00:00"/>
        <d v="2019-11-11T00:00:00"/>
        <d v="2019-11-12T00:00:00"/>
        <d v="2019-11-13T00:00:00"/>
        <d v="2019-11-14T00:00:00"/>
        <d v="2019-11-15T00:00:00"/>
        <d v="2019-11-16T00:00:00"/>
        <d v="2019-11-17T00:00:00"/>
        <d v="2019-08-18T00:00:00"/>
        <d v="2019-08-19T00:00:00"/>
        <d v="2020-11-20T00:00:00"/>
        <d v="2020-08-21T00:00:00"/>
        <d v="2019-11-22T00:00:00"/>
        <d v="2020-08-23T00:00:00"/>
        <d v="2019-11-24T00:00:00"/>
        <d v="2019-11-25T00:00:00"/>
        <d v="2019-11-26T00:00:00"/>
        <d v="2019-11-28T00:00:00"/>
        <d v="2019-11-29T00:00:00"/>
        <d v="2019-11-30T00:00:00"/>
        <d v="2020-08-01T00:00:00"/>
        <d v="2019-12-02T00:00:00"/>
        <d v="2019-12-03T00:00:00"/>
        <d v="2019-12-04T00:00:00"/>
        <d v="2019-12-05T00:00:00"/>
        <d v="2019-12-06T00:00:00"/>
        <d v="2019-12-07T00:00:00"/>
        <d v="2019-12-08T00:00:00"/>
        <d v="2019-12-09T00:00:00"/>
        <d v="2021-12-11T00:00:00"/>
        <d v="2019-12-12T00:00:00"/>
        <d v="2019-12-13T00:00:00"/>
        <d v="2019-12-14T00:00:00"/>
        <d v="2019-12-15T00:00:00"/>
        <d v="2021-12-16T00:00:00"/>
        <d v="2019-12-17T00:00:00"/>
        <d v="2019-12-18T00:00:00"/>
        <d v="2019-12-19T00:00:00"/>
        <d v="2019-12-20T00:00:00"/>
        <d v="2019-12-21T00:00:00"/>
        <d v="2019-12-22T00:00:00"/>
        <d v="2019-12-23T00:00:00"/>
        <d v="2019-12-24T00:00:00"/>
        <d v="2019-12-25T00:00:00"/>
        <d v="2019-12-26T00:00:00"/>
        <d v="2019-12-27T00:00:00"/>
        <d v="2019-12-29T00:00:00"/>
        <d v="2019-12-30T00:00:00"/>
        <d v="2019-12-31T00:00:00"/>
        <d v="2020-01-01T00:00:00"/>
        <d v="2020-01-02T00:00:00"/>
        <d v="2020-01-03T00:00:00"/>
        <d v="2020-01-04T00:00:00"/>
        <d v="2020-01-05T00:00:00"/>
        <d v="2022-01-06T00:00:00"/>
        <d v="2020-01-07T00:00:00"/>
        <d v="2020-01-08T00:00:00"/>
        <d v="2020-01-09T00:00:00"/>
        <d v="2022-01-10T00:00:00"/>
        <d v="2020-01-11T00:00:00"/>
        <d v="2020-01-12T00:00:00"/>
        <d v="2024-01-13T00:00:00"/>
        <d v="2023-01-14T00:00:00"/>
        <d v="2022-01-15T00:00:00"/>
        <d v="2022-01-16T00:00:00"/>
        <d v="2023-01-17T00:00:00"/>
        <d v="2023-01-18T00:00:00"/>
        <d v="2023-01-19T00:00:00"/>
        <d v="2020-01-20T00:00:00"/>
        <d v="2023-01-21T00:00:00"/>
        <d v="2020-01-22T00:00:00"/>
        <d v="2020-01-23T00:00:00"/>
        <d v="2020-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5-02-08T00:00:00"/>
        <d v="2020-02-09T00:00:00"/>
        <d v="2025-02-10T00:00:00"/>
        <d v="2025-02-11T00:00:00"/>
        <d v="2025-02-12T00:00:00"/>
        <d v="2025-02-13T00:00:00"/>
        <d v="2025-02-14T00:00:00"/>
        <d v="2025-02-15T00:00:00"/>
        <d v="2025-02-16T00:00:00"/>
        <d v="2024-02-17T00:00:00"/>
        <d v="2024-02-18T00:00:00"/>
        <d v="2024-02-19T00:00:00"/>
        <d v="2025-02-20T00:00:00"/>
        <d v="2024-02-21T00:00:00"/>
        <d v="2025-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1-03-11T00:00:00"/>
      </sharedItems>
      <fieldGroup par="16" base="1">
        <rangePr groupBy="months" startDate="2019-01-13T00:00:00" endDate="2025-02-23T00:00:00"/>
        <groupItems count="14">
          <s v="&lt;13/01/2019"/>
          <s v="Jan"/>
          <s v="Feb"/>
          <s v="Mar"/>
          <s v="Apr"/>
          <s v="May"/>
          <s v="Jun"/>
          <s v="Jul"/>
          <s v="Aug"/>
          <s v="Sep"/>
          <s v="Oct"/>
          <s v="Nov"/>
          <s v="Dec"/>
          <s v="&gt;23/02/2025"/>
        </groupItems>
      </fieldGroup>
    </cacheField>
    <cacheField name="Customer ID " numFmtId="0">
      <sharedItems count="187">
        <s v="17671-51939-MA"/>
        <s v="17672-51939-MA"/>
        <s v="17673-51939-MA"/>
        <s v="17674-51939-MA"/>
        <s v="17675-51939-MA"/>
        <s v="17676-51939-MA"/>
        <s v="17677-51939-MA"/>
        <s v="17678-51939-MA"/>
        <s v="17679-51939-MA"/>
        <s v="17680-51939-MA"/>
        <s v="17681-51939-MA"/>
        <s v="17682-51939-MA"/>
        <s v="17683-51939-MA"/>
        <s v="17684-51939-MA"/>
        <s v="17685-51939-MA"/>
        <s v="17687-51939-MA"/>
        <s v="17686-51939-MA"/>
        <s v="17688-51939-MA"/>
        <s v="17689-51939-MA"/>
        <s v="17690-51939-MA"/>
        <s v="17691-51939-MA"/>
        <s v="17670921939-MA"/>
        <s v="17693-51939-MA"/>
        <s v="17694-51939-MA"/>
        <s v="17695-51939-MA"/>
        <s v="17696-51939-MA"/>
        <s v="17697-51939-MA"/>
        <s v="17698-51939-MA"/>
        <s v="17699-51939-MA"/>
        <s v="17670-51939-NZ"/>
        <s v="17670-51939-ME"/>
        <s v="17670-51940-ME"/>
        <s v="17670-51941-ME"/>
        <s v="17670-51942-ME"/>
        <s v="17670-51943-ME"/>
        <s v="17670-51945-ME"/>
        <s v="17670-51946-ME"/>
        <s v="17670-51947-ME"/>
        <s v="17670-51948-ME"/>
        <s v="17670-51949-ME"/>
        <s v="17670-51950-ME"/>
        <s v="17670-51958-ME"/>
        <s v="17670-51952-ME"/>
        <s v="17670-51953-ME"/>
        <s v="17670-51954-ME"/>
        <s v="17670-51955-ME"/>
        <s v="17670-51956-ME"/>
        <s v="17670-51973-ME"/>
        <s v="17670-51959-ME"/>
        <s v="17670-51960-ME"/>
        <s v="17670-51961-ME"/>
        <s v="16820-62826-QW"/>
        <s v="16820-62836-QW"/>
        <s v="16820-62846-QW"/>
        <s v="16820-62526-QW"/>
        <s v="16820-62866-QW"/>
        <s v="16820-62876-QW"/>
        <s v="16820-62886-QW"/>
        <s v="16820-62896-QW"/>
        <s v="16820-62800-QW"/>
        <s v="16820-62828-QW"/>
        <s v="16820-62823-QW"/>
        <s v="16820-62829-QW"/>
        <s v="17383-76832-SD1"/>
        <s v="17383-76832-SD2"/>
        <s v="17383-76832-SD3"/>
        <s v="17383-76832-SD4"/>
        <s v="17383-76832-SD5"/>
        <s v="17383-76832-SD6"/>
        <s v="17383-76832-SD7"/>
        <s v="17383-76832-SD8"/>
        <s v="17383-76832-SD9"/>
        <s v="17383-76832-SD10"/>
        <s v="17383-76832-SD11"/>
        <s v="17383-76832-SD12"/>
        <s v="17383-76832-SD13"/>
        <s v="17383-76832-SD14"/>
        <s v="21539-63283-UT1"/>
        <s v="21539-63283-UT2"/>
        <s v="21539-63283-UT3"/>
        <s v="21539-63283-UT4"/>
        <s v="21539-63283-UT5"/>
        <s v="21539-63283-UT6"/>
        <s v="21539-63283-UT7"/>
        <s v="21539-63283-UT8"/>
        <s v="21539-63283-UT9"/>
        <s v="21539-63283-UT10"/>
        <s v="21539-63283-UT11"/>
        <s v="21539-63283-UT12"/>
        <s v="21539-63283-UT13"/>
        <s v="21539-63283-UT14"/>
        <s v="21539-63283-UT15"/>
        <s v="21539-63283-UT16"/>
        <s v="21539-63283-UT17"/>
        <s v="21539-63283-UT18"/>
        <s v="21539-63283-UT19"/>
        <s v="21539-63283-UT20"/>
        <s v="21539-63283-UT21"/>
        <s v="21539-63283-UT22"/>
        <s v="21539-63283-UT23"/>
        <s v="21539-63283-UT24"/>
        <s v="21539-63283-UT25"/>
        <s v="21539-63283-UT26"/>
        <s v="21539-63283-UT27"/>
        <s v="21539-63283-UT28"/>
        <s v="21539-63283-UT29"/>
        <s v="21539-63283-UT30"/>
        <s v="21539-63283-UT31"/>
        <s v="21539-63283-UT32"/>
        <s v="21539-63283-UT33"/>
        <s v="21539-63283-UT34"/>
        <s v="21539-63283-UT35"/>
        <s v="21539-63283-UT36"/>
        <s v="21539-63283-UT37"/>
        <s v="21539-63283-UT38"/>
        <s v="21539-63283-UT39"/>
        <s v="21539-63283-UT40"/>
        <s v="21539-63283-UT41"/>
        <s v="21539-63283-UT42"/>
        <s v="21539-63283-UT43"/>
        <s v="21539-63283-UT44"/>
        <s v="21539-63283-UT45"/>
        <s v="21539-63283-UT46"/>
        <s v="21539-63283-UT47"/>
        <s v="21539-63283-UT48"/>
        <s v="21539-63283-UT49"/>
        <s v="21539-63283-UT50"/>
        <s v="21539-63283-UT51"/>
        <s v="21539-63283-UT52"/>
        <s v="21539-63283-UT53"/>
        <s v="21539-63283-UT54"/>
        <s v="21539-63283-UT55"/>
        <s v="21539-63283-UT56"/>
        <s v="21539-63283-UT57"/>
        <s v="21539-63283-UT58"/>
        <s v="21539-63283-UT59"/>
        <s v="21539-63283-UT60"/>
        <s v="21539-63283-UT61"/>
        <s v="21539-63283-UT62"/>
        <s v="21539-63283-UT63"/>
        <s v="21539-63283-UT64"/>
        <s v="21539-63283-UT65"/>
        <s v="21539-63283-UT66"/>
        <s v="21539-63283-UT67"/>
        <s v="21539-63283-UT68"/>
        <s v="21539-63283-UT69"/>
        <s v="21539-63283-UT70"/>
        <s v="21539-63283-UT71"/>
        <s v="21539-63283-UT72"/>
        <s v="21539-63283-UT73"/>
        <s v="21539-63283-UT74"/>
        <s v="21539-63283-UT75"/>
        <s v="21539-63283-UT76"/>
        <s v="21539-63283-UT77"/>
        <s v="21539-63283-UT78"/>
        <s v="21539-63283-UT79"/>
        <s v="21539-63283-UT80"/>
        <s v="21539-63283-UT81"/>
        <s v="21539-63283-UT82"/>
        <s v="21539-63283-UT83"/>
        <s v="21539-63283-UT84"/>
        <s v="21539-63283-UT85"/>
        <s v="21539-63283-UT86"/>
        <s v="21539-63283-UT87"/>
        <s v="21539-63283-UT88"/>
        <s v="21539-63283-UT89"/>
        <s v="21539-63283-UT90"/>
        <s v="21539-63283-UT91"/>
        <s v="21539-63283-UT92"/>
        <s v="21539-63283-UT93"/>
        <s v="21539-63283-UT94"/>
        <s v="21539-63283-UT95"/>
        <s v="21539-63283-UT96"/>
        <s v="21539-63283-UT97"/>
        <s v="21539-63283-UT98"/>
        <s v="21539-63283-UT99"/>
        <s v="21539-63283-UT100"/>
        <s v="21539-63283-UT101"/>
        <s v="21539-63283-UT102"/>
        <s v="21539-63283-UT103"/>
        <s v="21539-63283-UT104"/>
        <s v="21539-63283-UT105"/>
        <s v="21539-63283-UT106"/>
        <s v="21539-63283-UT107"/>
        <s v="21539-63283-UT108"/>
        <s v="21539-63283-UT109"/>
        <s v="21539-63283-UT110"/>
      </sharedItems>
    </cacheField>
    <cacheField name="Product ID" numFmtId="0">
      <sharedItems count="13">
        <s v="R-M-1"/>
        <s v="K-T-2"/>
        <s v="R-M-3"/>
        <s v="O-P-2"/>
        <s v="R-M-5"/>
        <s v="B-N-9"/>
        <s v="H-T-9"/>
        <s v="Z-T-3"/>
        <s v="L-W-7"/>
        <s v="G-T-8"/>
        <s v="R-J-4"/>
        <s v="I-O-6"/>
        <s v="I-O-2"/>
      </sharedItems>
    </cacheField>
    <cacheField name="Product " numFmtId="0">
      <sharedItems count="13">
        <s v="Phone"/>
        <s v="AC"/>
        <s v="Micro"/>
        <s v="Laptop"/>
        <s v="Computer"/>
        <s v="Charger"/>
        <s v="Mouse"/>
        <s v="Pen"/>
        <s v="Fan"/>
        <s v="Blub"/>
        <s v="Washing Machine"/>
        <s v="Camera"/>
        <s v="tv"/>
      </sharedItems>
    </cacheField>
    <cacheField name="Quantity " numFmtId="0">
      <sharedItems containsSemiMixedTypes="0" containsString="0" containsNumber="1" containsInteger="1" minValue="0" maxValue="9" count="10">
        <n v="3"/>
        <n v="4"/>
        <n v="7"/>
        <n v="9"/>
        <n v="1"/>
        <n v="6"/>
        <n v="5"/>
        <n v="2"/>
        <n v="8"/>
        <n v="0"/>
      </sharedItems>
    </cacheField>
    <cacheField name="Customer Name" numFmtId="0">
      <sharedItems count="95">
        <s v="Zai"/>
        <s v="Rose"/>
        <s v="Lily"/>
        <s v="Rean"/>
        <s v="Fadi"/>
        <s v="Snobr"/>
        <s v="Robin"/>
        <s v="Lone"/>
        <s v="Ben"/>
        <s v="Ten"/>
        <s v="Iron "/>
        <s v="Thor"/>
        <s v="Shuzka"/>
        <s v="Nobita"/>
        <s v="Gian"/>
        <s v="Sunio"/>
        <s v="Dora"/>
        <s v="Dorien"/>
        <s v="Danyal"/>
        <s v="Zaid"/>
        <s v="Zawar"/>
        <s v="Zeshan "/>
        <s v="Mosa"/>
        <s v="Arham"/>
        <s v="Ahad"/>
        <s v="Najam "/>
        <s v="Rehman "/>
        <s v="Daud"/>
        <s v="Qamar"/>
        <s v="Skinder"/>
        <s v="Shahbaz"/>
        <s v="Subhan"/>
        <s v="Shan"/>
        <s v="Roman"/>
        <s v="Tayyab"/>
        <s v="Kashif"/>
        <s v="Ali"/>
        <s v="Vivi"/>
        <s v="Ahsan"/>
        <s v="Ahad mir"/>
        <s v="Sarmad "/>
        <s v="Moin "/>
        <s v="Sana"/>
        <s v="Amna"/>
        <s v="Juan"/>
        <s v="Doug"/>
        <s v="Charlie"/>
        <s v="Helen"/>
        <s v="Smith"/>
        <s v="Hernandez"/>
        <s v="Johnson"/>
        <s v="Barnes"/>
        <s v="Zoi"/>
        <s v="Zuni"/>
        <s v="Zahid"/>
        <s v="Zahr"/>
        <s v="Zht"/>
        <s v="Zubair"/>
        <s v="Ahsn"/>
        <s v="Ameer"/>
        <s v="Anas"/>
        <s v="Artm"/>
        <s v="Ahthsam"/>
        <s v="Atheshma"/>
        <s v="Razi"/>
        <s v="Qut"/>
        <s v="Quni"/>
        <s v="Shot"/>
        <s v="Sthoy"/>
        <s v="Stokey"/>
        <s v="dath"/>
        <s v="Wood"/>
        <s v="Arzoo"/>
        <s v="Ansa"/>
        <s v="Iqra"/>
        <s v="Momina"/>
        <s v="Khalil"/>
        <s v="Tanveer"/>
        <s v="Minha"/>
        <s v="Minhal"/>
        <s v="Aeman"/>
        <s v="Afifa"/>
        <s v="Aliza"/>
        <s v="Anzeela"/>
        <s v="Anaya"/>
        <s v="Arooj"/>
        <s v="Hassan"/>
        <s v="Shban"/>
        <s v="Dar"/>
        <s v="Shifiq"/>
        <s v="Usman"/>
        <s v="Hina"/>
        <s v="Zaniab"/>
        <s v="Nouman"/>
        <s v="Fhad"/>
      </sharedItems>
    </cacheField>
    <cacheField name="Email" numFmtId="0">
      <sharedItems/>
    </cacheField>
    <cacheField name="Country" numFmtId="0">
      <sharedItems count="8">
        <s v="Pakistan"/>
        <s v="UK"/>
        <s v="Iceland"/>
        <s v="Canada"/>
        <s v="Germany"/>
        <s v="Italy"/>
        <s v="Dubi"/>
        <s v="Itely" u="1"/>
      </sharedItems>
    </cacheField>
    <cacheField name="Type" numFmtId="0">
      <sharedItems count="4">
        <s v="Electronic"/>
        <s v="Japan Electronic"/>
        <s v="Exported "/>
        <s v="Germany "/>
      </sharedItems>
    </cacheField>
    <cacheField name="Size" numFmtId="0">
      <sharedItems containsBlank="1" count="18">
        <s v="Small"/>
        <s v="2 unit "/>
        <s v="1 unit"/>
        <s v="Ipone"/>
        <s v="Core i5"/>
        <s v="Samsung"/>
        <s v="2 Watt"/>
        <s v="Android"/>
        <s v="Digital"/>
        <s v="Balpoint"/>
        <s v="Remote"/>
        <m/>
        <s v="20 watt"/>
        <s v="Automatic"/>
        <s v="2 Ton "/>
        <s v="3 Ton "/>
        <s v="full size"/>
        <s v="cable"/>
      </sharedItems>
    </cacheField>
    <cacheField name="unit price" numFmtId="0">
      <sharedItems containsSemiMixedTypes="0" containsString="0" containsNumber="1" minValue="0.01" maxValue="661"/>
    </cacheField>
    <cacheField name="Sales" numFmtId="0">
      <sharedItems containsSemiMixedTypes="0" containsString="0" containsNumber="1" containsInteger="1" minValue="11" maxValue="20"/>
    </cacheField>
    <cacheField name="Imported " numFmtId="0">
      <sharedItems containsSemiMixedTypes="0" containsString="0" containsNumber="1" containsInteger="1" minValue="6" maxValue="15" count="10">
        <n v="9"/>
        <n v="10"/>
        <n v="13"/>
        <n v="15"/>
        <n v="7"/>
        <n v="12"/>
        <n v="11"/>
        <n v="8"/>
        <n v="14"/>
        <n v="6"/>
      </sharedItems>
    </cacheField>
    <cacheField name="Exported " numFmtId="0">
      <sharedItems containsSemiMixedTypes="0" containsString="0" containsNumber="1" containsInteger="1" minValue="0" maxValue="5" count="6">
        <n v="2"/>
        <n v="1"/>
        <n v="0"/>
        <n v="4"/>
        <n v="3"/>
        <n v="5"/>
      </sharedItems>
    </cacheField>
    <cacheField name="Loyality card " numFmtId="0">
      <sharedItems count="2">
        <s v="Yes"/>
        <s v="NO"/>
      </sharedItems>
    </cacheField>
    <cacheField name="Years" numFmtId="0" databaseField="0">
      <fieldGroup base="1">
        <rangePr groupBy="years" startDate="2019-01-13T00:00:00" endDate="2025-02-23T00:00:00"/>
        <groupItems count="9">
          <s v="&lt;13/01/2019"/>
          <s v="2019"/>
          <s v="2020"/>
          <s v="2021"/>
          <s v="2022"/>
          <s v="2023"/>
          <s v="2024"/>
          <s v="2025"/>
          <s v="&gt;23/02/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89">
  <r>
    <s v="QEV-37451-860"/>
    <x v="0"/>
    <x v="0"/>
    <x v="0"/>
    <x v="0"/>
    <x v="0"/>
    <x v="0"/>
    <s v="zai12@gmail.com"/>
    <x v="0"/>
    <x v="0"/>
    <x v="0"/>
    <n v="2.2999999999999998"/>
    <n v="14"/>
    <x v="0"/>
    <x v="0"/>
    <x v="0"/>
  </r>
  <r>
    <s v="QEV-37452-860"/>
    <x v="1"/>
    <x v="1"/>
    <x v="1"/>
    <x v="1"/>
    <x v="1"/>
    <x v="1"/>
    <s v="rose72@gmail.com"/>
    <x v="0"/>
    <x v="1"/>
    <x v="1"/>
    <n v="340.45"/>
    <n v="15"/>
    <x v="1"/>
    <x v="1"/>
    <x v="0"/>
  </r>
  <r>
    <s v="QEV-37453-861"/>
    <x v="2"/>
    <x v="2"/>
    <x v="2"/>
    <x v="2"/>
    <x v="2"/>
    <x v="2"/>
    <s v="lily23@gmail.com"/>
    <x v="0"/>
    <x v="1"/>
    <x v="2"/>
    <n v="369"/>
    <n v="18"/>
    <x v="2"/>
    <x v="2"/>
    <x v="0"/>
  </r>
  <r>
    <s v="QEV-37454-862"/>
    <x v="3"/>
    <x v="3"/>
    <x v="3"/>
    <x v="0"/>
    <x v="3"/>
    <x v="3"/>
    <s v="rean8@gmail.com"/>
    <x v="1"/>
    <x v="0"/>
    <x v="3"/>
    <n v="2.2999999999999998"/>
    <n v="20"/>
    <x v="3"/>
    <x v="2"/>
    <x v="0"/>
  </r>
  <r>
    <s v="QEV-37455-863"/>
    <x v="4"/>
    <x v="4"/>
    <x v="4"/>
    <x v="3"/>
    <x v="4"/>
    <x v="4"/>
    <s v="fadio3@gmail.com"/>
    <x v="0"/>
    <x v="0"/>
    <x v="4"/>
    <n v="45"/>
    <n v="12"/>
    <x v="4"/>
    <x v="3"/>
    <x v="0"/>
  </r>
  <r>
    <s v="QEV-37456-864"/>
    <x v="5"/>
    <x v="5"/>
    <x v="2"/>
    <x v="4"/>
    <x v="1"/>
    <x v="5"/>
    <s v="snobr@gmail.com"/>
    <x v="1"/>
    <x v="0"/>
    <x v="5"/>
    <n v="75"/>
    <n v="15"/>
    <x v="1"/>
    <x v="1"/>
    <x v="1"/>
  </r>
  <r>
    <s v="QEV-37417-865"/>
    <x v="6"/>
    <x v="6"/>
    <x v="5"/>
    <x v="5"/>
    <x v="5"/>
    <x v="6"/>
    <s v="rbion@gmail.com"/>
    <x v="2"/>
    <x v="0"/>
    <x v="6"/>
    <n v="2"/>
    <n v="17"/>
    <x v="5"/>
    <x v="2"/>
    <x v="0"/>
  </r>
  <r>
    <s v="QEV-37458-866"/>
    <x v="7"/>
    <x v="7"/>
    <x v="6"/>
    <x v="0"/>
    <x v="0"/>
    <x v="7"/>
    <s v="lone@gmail.com"/>
    <x v="0"/>
    <x v="0"/>
    <x v="3"/>
    <n v="2"/>
    <n v="14"/>
    <x v="0"/>
    <x v="0"/>
    <x v="0"/>
  </r>
  <r>
    <s v="QEV-37459-867"/>
    <x v="8"/>
    <x v="8"/>
    <x v="1"/>
    <x v="1"/>
    <x v="5"/>
    <x v="8"/>
    <s v="ben5@gmail.com"/>
    <x v="2"/>
    <x v="1"/>
    <x v="2"/>
    <n v="340"/>
    <n v="17"/>
    <x v="5"/>
    <x v="2"/>
    <x v="0"/>
  </r>
  <r>
    <s v="QEV-374560-868"/>
    <x v="9"/>
    <x v="9"/>
    <x v="7"/>
    <x v="1"/>
    <x v="0"/>
    <x v="9"/>
    <s v="ten78@gmail.com"/>
    <x v="1"/>
    <x v="1"/>
    <x v="1"/>
    <n v="348"/>
    <n v="14"/>
    <x v="0"/>
    <x v="0"/>
    <x v="0"/>
  </r>
  <r>
    <s v="QEV-374561-869"/>
    <x v="10"/>
    <x v="10"/>
    <x v="2"/>
    <x v="0"/>
    <x v="6"/>
    <x v="10"/>
    <s v="iron9@gmail.com"/>
    <x v="3"/>
    <x v="0"/>
    <x v="7"/>
    <n v="2"/>
    <n v="16"/>
    <x v="6"/>
    <x v="2"/>
    <x v="1"/>
  </r>
  <r>
    <s v="QEV-374562-870"/>
    <x v="11"/>
    <x v="11"/>
    <x v="1"/>
    <x v="0"/>
    <x v="4"/>
    <x v="11"/>
    <s v="thor56@gmail.com"/>
    <x v="1"/>
    <x v="0"/>
    <x v="7"/>
    <n v="3"/>
    <n v="12"/>
    <x v="4"/>
    <x v="3"/>
    <x v="1"/>
  </r>
  <r>
    <s v="QEV-374563-871"/>
    <x v="12"/>
    <x v="12"/>
    <x v="5"/>
    <x v="6"/>
    <x v="2"/>
    <x v="12"/>
    <s v="shuziii@gmail.com"/>
    <x v="1"/>
    <x v="0"/>
    <x v="8"/>
    <n v="1"/>
    <n v="18"/>
    <x v="2"/>
    <x v="2"/>
    <x v="1"/>
  </r>
  <r>
    <s v="QEV-374564-872"/>
    <x v="13"/>
    <x v="13"/>
    <x v="3"/>
    <x v="3"/>
    <x v="7"/>
    <x v="13"/>
    <s v="nobbiii@gmail.com"/>
    <x v="1"/>
    <x v="0"/>
    <x v="4"/>
    <n v="83"/>
    <n v="13"/>
    <x v="7"/>
    <x v="4"/>
    <x v="1"/>
  </r>
  <r>
    <s v="QEV-374565-873"/>
    <x v="14"/>
    <x v="14"/>
    <x v="0"/>
    <x v="3"/>
    <x v="8"/>
    <x v="14"/>
    <s v="gian67@gmail.com"/>
    <x v="0"/>
    <x v="0"/>
    <x v="4"/>
    <n v="70"/>
    <n v="19"/>
    <x v="8"/>
    <x v="2"/>
    <x v="0"/>
  </r>
  <r>
    <s v="QEV-374566-874"/>
    <x v="15"/>
    <x v="15"/>
    <x v="8"/>
    <x v="2"/>
    <x v="3"/>
    <x v="15"/>
    <s v="suniooo@gmail.com"/>
    <x v="1"/>
    <x v="1"/>
    <x v="2"/>
    <n v="340"/>
    <n v="20"/>
    <x v="3"/>
    <x v="2"/>
    <x v="0"/>
  </r>
  <r>
    <s v="QEV-374567-875"/>
    <x v="16"/>
    <x v="16"/>
    <x v="6"/>
    <x v="6"/>
    <x v="7"/>
    <x v="16"/>
    <s v="dora8@gmail.com"/>
    <x v="2"/>
    <x v="0"/>
    <x v="1"/>
    <n v="1"/>
    <n v="13"/>
    <x v="7"/>
    <x v="4"/>
    <x v="0"/>
  </r>
  <r>
    <s v="QEV-374568-876"/>
    <x v="17"/>
    <x v="17"/>
    <x v="3"/>
    <x v="7"/>
    <x v="2"/>
    <x v="17"/>
    <s v="dorieee@gmail.com"/>
    <x v="3"/>
    <x v="0"/>
    <x v="9"/>
    <n v="0.01"/>
    <n v="18"/>
    <x v="2"/>
    <x v="2"/>
    <x v="0"/>
  </r>
  <r>
    <s v="QEV-374569-877"/>
    <x v="18"/>
    <x v="18"/>
    <x v="7"/>
    <x v="7"/>
    <x v="7"/>
    <x v="18"/>
    <s v="danyal@gmail.com"/>
    <x v="1"/>
    <x v="0"/>
    <x v="9"/>
    <n v="0.1"/>
    <n v="13"/>
    <x v="7"/>
    <x v="4"/>
    <x v="0"/>
  </r>
  <r>
    <s v="QEV-37470-878"/>
    <x v="19"/>
    <x v="19"/>
    <x v="2"/>
    <x v="8"/>
    <x v="4"/>
    <x v="19"/>
    <s v="zaid@gmail.com"/>
    <x v="0"/>
    <x v="0"/>
    <x v="10"/>
    <n v="20"/>
    <n v="12"/>
    <x v="4"/>
    <x v="3"/>
    <x v="1"/>
  </r>
  <r>
    <s v="QEV-37471-879"/>
    <x v="20"/>
    <x v="20"/>
    <x v="1"/>
    <x v="8"/>
    <x v="6"/>
    <x v="20"/>
    <s v="zawar@gmail.com"/>
    <x v="1"/>
    <x v="0"/>
    <x v="10"/>
    <n v="20"/>
    <n v="16"/>
    <x v="6"/>
    <x v="2"/>
    <x v="0"/>
  </r>
  <r>
    <s v="QEV-37472-880"/>
    <x v="21"/>
    <x v="21"/>
    <x v="5"/>
    <x v="8"/>
    <x v="2"/>
    <x v="21"/>
    <s v="zehan@gmail.com"/>
    <x v="1"/>
    <x v="0"/>
    <x v="10"/>
    <n v="20"/>
    <n v="18"/>
    <x v="2"/>
    <x v="2"/>
    <x v="1"/>
  </r>
  <r>
    <s v="QEV-37473-881"/>
    <x v="22"/>
    <x v="22"/>
    <x v="8"/>
    <x v="1"/>
    <x v="0"/>
    <x v="22"/>
    <s v="mosa@gmail.com"/>
    <x v="3"/>
    <x v="1"/>
    <x v="11"/>
    <n v="234"/>
    <n v="14"/>
    <x v="0"/>
    <x v="0"/>
    <x v="0"/>
  </r>
  <r>
    <s v="QEV-37474-882"/>
    <x v="23"/>
    <x v="23"/>
    <x v="0"/>
    <x v="8"/>
    <x v="3"/>
    <x v="23"/>
    <s v="arham@gmail.com"/>
    <x v="1"/>
    <x v="0"/>
    <x v="10"/>
    <n v="20"/>
    <n v="20"/>
    <x v="3"/>
    <x v="2"/>
    <x v="0"/>
  </r>
  <r>
    <s v="QEV-37475-883"/>
    <x v="24"/>
    <x v="24"/>
    <x v="7"/>
    <x v="9"/>
    <x v="7"/>
    <x v="24"/>
    <s v="ahad67@gmail.com"/>
    <x v="4"/>
    <x v="0"/>
    <x v="12"/>
    <n v="12"/>
    <n v="13"/>
    <x v="7"/>
    <x v="4"/>
    <x v="0"/>
  </r>
  <r>
    <s v="QEV-37476-884"/>
    <x v="25"/>
    <x v="25"/>
    <x v="6"/>
    <x v="0"/>
    <x v="0"/>
    <x v="25"/>
    <s v="najam@gmail.com"/>
    <x v="2"/>
    <x v="0"/>
    <x v="3"/>
    <n v="2"/>
    <n v="14"/>
    <x v="0"/>
    <x v="0"/>
    <x v="0"/>
  </r>
  <r>
    <s v="QEV-37477-885"/>
    <x v="26"/>
    <x v="26"/>
    <x v="8"/>
    <x v="3"/>
    <x v="7"/>
    <x v="26"/>
    <s v="rehman@gmail.com"/>
    <x v="1"/>
    <x v="0"/>
    <x v="4"/>
    <n v="70"/>
    <n v="13"/>
    <x v="7"/>
    <x v="4"/>
    <x v="0"/>
  </r>
  <r>
    <s v="QEV-37478-886"/>
    <x v="27"/>
    <x v="27"/>
    <x v="7"/>
    <x v="0"/>
    <x v="7"/>
    <x v="27"/>
    <s v="daud@gmail.com"/>
    <x v="4"/>
    <x v="0"/>
    <x v="7"/>
    <n v="2"/>
    <n v="13"/>
    <x v="7"/>
    <x v="4"/>
    <x v="0"/>
  </r>
  <r>
    <s v="QEV-37479-887"/>
    <x v="28"/>
    <x v="28"/>
    <x v="8"/>
    <x v="6"/>
    <x v="5"/>
    <x v="28"/>
    <s v="qamar@gmail.com"/>
    <x v="0"/>
    <x v="0"/>
    <x v="8"/>
    <n v="1"/>
    <n v="17"/>
    <x v="5"/>
    <x v="2"/>
    <x v="1"/>
  </r>
  <r>
    <s v="QEV-37451-888"/>
    <x v="29"/>
    <x v="29"/>
    <x v="3"/>
    <x v="0"/>
    <x v="7"/>
    <x v="29"/>
    <s v="skinder@gmail.com"/>
    <x v="1"/>
    <x v="0"/>
    <x v="7"/>
    <n v="2"/>
    <n v="13"/>
    <x v="7"/>
    <x v="4"/>
    <x v="1"/>
  </r>
  <r>
    <s v="QEV-37451-889"/>
    <x v="30"/>
    <x v="30"/>
    <x v="5"/>
    <x v="0"/>
    <x v="0"/>
    <x v="30"/>
    <s v="shahbaz@gmail.com"/>
    <x v="4"/>
    <x v="0"/>
    <x v="7"/>
    <n v="2"/>
    <n v="14"/>
    <x v="0"/>
    <x v="0"/>
    <x v="1"/>
  </r>
  <r>
    <s v="QEV-37451-890"/>
    <x v="31"/>
    <x v="31"/>
    <x v="8"/>
    <x v="0"/>
    <x v="1"/>
    <x v="18"/>
    <s v="danyal009@gmail.com"/>
    <x v="3"/>
    <x v="0"/>
    <x v="7"/>
    <n v="2"/>
    <n v="15"/>
    <x v="1"/>
    <x v="1"/>
    <x v="1"/>
  </r>
  <r>
    <s v="QEV-37451-891"/>
    <x v="32"/>
    <x v="32"/>
    <x v="1"/>
    <x v="0"/>
    <x v="6"/>
    <x v="31"/>
    <s v="subna@gmail.com"/>
    <x v="5"/>
    <x v="0"/>
    <x v="3"/>
    <n v="2"/>
    <n v="16"/>
    <x v="6"/>
    <x v="2"/>
    <x v="1"/>
  </r>
  <r>
    <s v="QEV-37451-892"/>
    <x v="33"/>
    <x v="33"/>
    <x v="8"/>
    <x v="9"/>
    <x v="6"/>
    <x v="32"/>
    <s v="shan00@gmail.com"/>
    <x v="4"/>
    <x v="0"/>
    <x v="12"/>
    <n v="12"/>
    <n v="16"/>
    <x v="6"/>
    <x v="2"/>
    <x v="1"/>
  </r>
  <r>
    <s v="QEV-37451-893"/>
    <x v="4"/>
    <x v="34"/>
    <x v="0"/>
    <x v="1"/>
    <x v="6"/>
    <x v="33"/>
    <s v="roman@gmail.com"/>
    <x v="5"/>
    <x v="1"/>
    <x v="11"/>
    <n v="340"/>
    <n v="16"/>
    <x v="6"/>
    <x v="2"/>
    <x v="0"/>
  </r>
  <r>
    <s v="QEV-37451-894"/>
    <x v="34"/>
    <x v="35"/>
    <x v="2"/>
    <x v="3"/>
    <x v="5"/>
    <x v="34"/>
    <s v="trayyab@gmail.com"/>
    <x v="1"/>
    <x v="0"/>
    <x v="4"/>
    <n v="70"/>
    <n v="17"/>
    <x v="5"/>
    <x v="2"/>
    <x v="0"/>
  </r>
  <r>
    <s v="QEV-37451-895"/>
    <x v="35"/>
    <x v="36"/>
    <x v="7"/>
    <x v="9"/>
    <x v="4"/>
    <x v="35"/>
    <s v="kashif@gmail.com"/>
    <x v="6"/>
    <x v="0"/>
    <x v="12"/>
    <n v="12"/>
    <n v="12"/>
    <x v="4"/>
    <x v="3"/>
    <x v="0"/>
  </r>
  <r>
    <s v="QEV-37451-896"/>
    <x v="36"/>
    <x v="37"/>
    <x v="6"/>
    <x v="8"/>
    <x v="2"/>
    <x v="36"/>
    <s v="ali990@gmail.com"/>
    <x v="5"/>
    <x v="0"/>
    <x v="10"/>
    <n v="23"/>
    <n v="18"/>
    <x v="2"/>
    <x v="2"/>
    <x v="0"/>
  </r>
  <r>
    <s v="QEV-37451-897"/>
    <x v="37"/>
    <x v="38"/>
    <x v="8"/>
    <x v="9"/>
    <x v="7"/>
    <x v="37"/>
    <s v="vivi90090@gmail.com"/>
    <x v="3"/>
    <x v="0"/>
    <x v="12"/>
    <n v="12"/>
    <n v="13"/>
    <x v="7"/>
    <x v="4"/>
    <x v="0"/>
  </r>
  <r>
    <s v="QEV-37451-898"/>
    <x v="38"/>
    <x v="39"/>
    <x v="9"/>
    <x v="0"/>
    <x v="6"/>
    <x v="38"/>
    <s v="ahsna@gmail.com"/>
    <x v="1"/>
    <x v="0"/>
    <x v="7"/>
    <n v="2"/>
    <n v="16"/>
    <x v="6"/>
    <x v="2"/>
    <x v="0"/>
  </r>
  <r>
    <s v="QEV-37451-899"/>
    <x v="39"/>
    <x v="40"/>
    <x v="10"/>
    <x v="6"/>
    <x v="7"/>
    <x v="39"/>
    <s v="ahadm09@gmail.com"/>
    <x v="1"/>
    <x v="0"/>
    <x v="8"/>
    <n v="1"/>
    <n v="13"/>
    <x v="7"/>
    <x v="4"/>
    <x v="1"/>
  </r>
  <r>
    <s v="QEV-37451-900"/>
    <x v="40"/>
    <x v="41"/>
    <x v="1"/>
    <x v="0"/>
    <x v="3"/>
    <x v="40"/>
    <s v="sarmad34@gmail.com"/>
    <x v="2"/>
    <x v="0"/>
    <x v="7"/>
    <n v="2"/>
    <n v="20"/>
    <x v="3"/>
    <x v="2"/>
    <x v="1"/>
  </r>
  <r>
    <s v="QEV-37451-901"/>
    <x v="41"/>
    <x v="42"/>
    <x v="3"/>
    <x v="0"/>
    <x v="4"/>
    <x v="41"/>
    <s v="moin32@gmail.com"/>
    <x v="4"/>
    <x v="0"/>
    <x v="3"/>
    <n v="2"/>
    <n v="12"/>
    <x v="4"/>
    <x v="3"/>
    <x v="1"/>
  </r>
  <r>
    <s v="QEV-37451-902"/>
    <x v="42"/>
    <x v="43"/>
    <x v="5"/>
    <x v="10"/>
    <x v="6"/>
    <x v="42"/>
    <s v="sana56@gmail.com"/>
    <x v="0"/>
    <x v="1"/>
    <x v="13"/>
    <n v="340"/>
    <n v="16"/>
    <x v="6"/>
    <x v="2"/>
    <x v="1"/>
  </r>
  <r>
    <s v="QEV-37451-903"/>
    <x v="43"/>
    <x v="44"/>
    <x v="2"/>
    <x v="10"/>
    <x v="4"/>
    <x v="43"/>
    <s v="amna56@gmail.com"/>
    <x v="5"/>
    <x v="1"/>
    <x v="13"/>
    <n v="500"/>
    <n v="12"/>
    <x v="4"/>
    <x v="3"/>
    <x v="0"/>
  </r>
  <r>
    <s v="QEV-37451-904"/>
    <x v="44"/>
    <x v="45"/>
    <x v="7"/>
    <x v="10"/>
    <x v="3"/>
    <x v="44"/>
    <s v="juan56@gmail.com"/>
    <x v="1"/>
    <x v="1"/>
    <x v="11"/>
    <n v="590"/>
    <n v="20"/>
    <x v="3"/>
    <x v="2"/>
    <x v="1"/>
  </r>
  <r>
    <s v="QEV-37451-905"/>
    <x v="45"/>
    <x v="46"/>
    <x v="6"/>
    <x v="3"/>
    <x v="4"/>
    <x v="45"/>
    <s v="doug56@gmail.com"/>
    <x v="2"/>
    <x v="0"/>
    <x v="4"/>
    <n v="70"/>
    <n v="12"/>
    <x v="4"/>
    <x v="3"/>
    <x v="0"/>
  </r>
  <r>
    <s v="QEV-37451-906"/>
    <x v="46"/>
    <x v="47"/>
    <x v="8"/>
    <x v="1"/>
    <x v="1"/>
    <x v="46"/>
    <s v="charlie56@gmail.com"/>
    <x v="0"/>
    <x v="0"/>
    <x v="11"/>
    <n v="340"/>
    <n v="15"/>
    <x v="1"/>
    <x v="1"/>
    <x v="1"/>
  </r>
  <r>
    <s v="QEV-37451-907"/>
    <x v="47"/>
    <x v="41"/>
    <x v="7"/>
    <x v="9"/>
    <x v="6"/>
    <x v="45"/>
    <s v="doug56@gmail.com"/>
    <x v="1"/>
    <x v="0"/>
    <x v="11"/>
    <n v="12"/>
    <n v="16"/>
    <x v="6"/>
    <x v="2"/>
    <x v="1"/>
  </r>
  <r>
    <s v="QEV-37451-908"/>
    <x v="48"/>
    <x v="48"/>
    <x v="9"/>
    <x v="10"/>
    <x v="7"/>
    <x v="47"/>
    <s v="helen56@gmail.com"/>
    <x v="0"/>
    <x v="1"/>
    <x v="8"/>
    <n v="340"/>
    <n v="13"/>
    <x v="7"/>
    <x v="4"/>
    <x v="1"/>
  </r>
  <r>
    <s v="QEV-37451-909"/>
    <x v="49"/>
    <x v="49"/>
    <x v="5"/>
    <x v="8"/>
    <x v="7"/>
    <x v="45"/>
    <s v="doug56@gmail.com"/>
    <x v="3"/>
    <x v="0"/>
    <x v="13"/>
    <n v="30"/>
    <n v="13"/>
    <x v="7"/>
    <x v="4"/>
    <x v="0"/>
  </r>
  <r>
    <s v="QEV-37451-910"/>
    <x v="50"/>
    <x v="50"/>
    <x v="10"/>
    <x v="9"/>
    <x v="0"/>
    <x v="45"/>
    <s v="doug56@gmail.com"/>
    <x v="1"/>
    <x v="0"/>
    <x v="11"/>
    <n v="12"/>
    <n v="14"/>
    <x v="0"/>
    <x v="0"/>
    <x v="0"/>
  </r>
  <r>
    <s v="QEV-37451-911"/>
    <x v="51"/>
    <x v="51"/>
    <x v="2"/>
    <x v="0"/>
    <x v="7"/>
    <x v="44"/>
    <s v="juan56@gmail.com"/>
    <x v="4"/>
    <x v="0"/>
    <x v="3"/>
    <n v="2"/>
    <n v="13"/>
    <x v="7"/>
    <x v="4"/>
    <x v="0"/>
  </r>
  <r>
    <s v="QEV-37451-912"/>
    <x v="52"/>
    <x v="52"/>
    <x v="1"/>
    <x v="0"/>
    <x v="7"/>
    <x v="45"/>
    <s v="doug56@gmail.com"/>
    <x v="5"/>
    <x v="0"/>
    <x v="3"/>
    <n v="2"/>
    <n v="13"/>
    <x v="7"/>
    <x v="4"/>
    <x v="0"/>
  </r>
  <r>
    <s v="QEV-37451-913"/>
    <x v="53"/>
    <x v="53"/>
    <x v="3"/>
    <x v="0"/>
    <x v="7"/>
    <x v="47"/>
    <s v="helen56@gmail.com"/>
    <x v="1"/>
    <x v="0"/>
    <x v="3"/>
    <n v="2"/>
    <n v="13"/>
    <x v="7"/>
    <x v="4"/>
    <x v="0"/>
  </r>
  <r>
    <s v="QEV-37451-914"/>
    <x v="54"/>
    <x v="54"/>
    <x v="0"/>
    <x v="3"/>
    <x v="7"/>
    <x v="46"/>
    <s v="charlie56@gmail.com"/>
    <x v="2"/>
    <x v="0"/>
    <x v="4"/>
    <n v="70"/>
    <n v="13"/>
    <x v="7"/>
    <x v="4"/>
    <x v="0"/>
  </r>
  <r>
    <s v="QEV-37451-915"/>
    <x v="55"/>
    <x v="55"/>
    <x v="5"/>
    <x v="1"/>
    <x v="0"/>
    <x v="47"/>
    <s v="helen56@gmail.com"/>
    <x v="3"/>
    <x v="1"/>
    <x v="14"/>
    <n v="340"/>
    <n v="14"/>
    <x v="0"/>
    <x v="0"/>
    <x v="0"/>
  </r>
  <r>
    <s v="QEV-37451-916"/>
    <x v="56"/>
    <x v="56"/>
    <x v="7"/>
    <x v="1"/>
    <x v="7"/>
    <x v="44"/>
    <s v="juan56@gmail.com"/>
    <x v="1"/>
    <x v="1"/>
    <x v="15"/>
    <n v="340"/>
    <n v="13"/>
    <x v="7"/>
    <x v="4"/>
    <x v="0"/>
  </r>
  <r>
    <s v="QEV-37451-917"/>
    <x v="57"/>
    <x v="57"/>
    <x v="6"/>
    <x v="6"/>
    <x v="7"/>
    <x v="45"/>
    <s v="doug56@gmail.com"/>
    <x v="6"/>
    <x v="0"/>
    <x v="8"/>
    <n v="1"/>
    <n v="13"/>
    <x v="7"/>
    <x v="4"/>
    <x v="1"/>
  </r>
  <r>
    <s v="QEV-37451-918"/>
    <x v="58"/>
    <x v="58"/>
    <x v="9"/>
    <x v="1"/>
    <x v="4"/>
    <x v="47"/>
    <s v="helen56@gmail.com"/>
    <x v="5"/>
    <x v="1"/>
    <x v="15"/>
    <n v="340"/>
    <n v="12"/>
    <x v="4"/>
    <x v="3"/>
    <x v="1"/>
  </r>
  <r>
    <s v="QEV-37451-919"/>
    <x v="59"/>
    <x v="59"/>
    <x v="8"/>
    <x v="11"/>
    <x v="4"/>
    <x v="46"/>
    <s v="charlie56@gmail.com"/>
    <x v="1"/>
    <x v="1"/>
    <x v="8"/>
    <n v="21"/>
    <n v="12"/>
    <x v="4"/>
    <x v="3"/>
    <x v="1"/>
  </r>
  <r>
    <s v="QEV-37451-920"/>
    <x v="60"/>
    <x v="60"/>
    <x v="5"/>
    <x v="10"/>
    <x v="4"/>
    <x v="45"/>
    <s v="doug56@gmail.com"/>
    <x v="4"/>
    <x v="1"/>
    <x v="11"/>
    <n v="500"/>
    <n v="12"/>
    <x v="4"/>
    <x v="3"/>
    <x v="1"/>
  </r>
  <r>
    <s v="QEV-37451-921"/>
    <x v="61"/>
    <x v="56"/>
    <x v="2"/>
    <x v="0"/>
    <x v="1"/>
    <x v="44"/>
    <s v="juan56@gmail.com"/>
    <x v="3"/>
    <x v="0"/>
    <x v="3"/>
    <n v="2"/>
    <n v="15"/>
    <x v="1"/>
    <x v="1"/>
    <x v="0"/>
  </r>
  <r>
    <s v="QEV-37451-922"/>
    <x v="62"/>
    <x v="61"/>
    <x v="1"/>
    <x v="0"/>
    <x v="1"/>
    <x v="47"/>
    <s v="helen56@gmail.com"/>
    <x v="5"/>
    <x v="0"/>
    <x v="3"/>
    <n v="2"/>
    <n v="15"/>
    <x v="1"/>
    <x v="1"/>
    <x v="0"/>
  </r>
  <r>
    <s v="QEV-37451-923"/>
    <x v="63"/>
    <x v="62"/>
    <x v="0"/>
    <x v="9"/>
    <x v="0"/>
    <x v="46"/>
    <s v="charlie56@gmail.com"/>
    <x v="2"/>
    <x v="0"/>
    <x v="11"/>
    <n v="12"/>
    <n v="14"/>
    <x v="0"/>
    <x v="0"/>
    <x v="0"/>
  </r>
  <r>
    <s v="QEV-37451-924"/>
    <x v="64"/>
    <x v="63"/>
    <x v="3"/>
    <x v="8"/>
    <x v="7"/>
    <x v="44"/>
    <s v="juan56@gmail.com"/>
    <x v="6"/>
    <x v="0"/>
    <x v="8"/>
    <n v="32"/>
    <n v="13"/>
    <x v="7"/>
    <x v="4"/>
    <x v="0"/>
  </r>
  <r>
    <s v="QEV-37451-925"/>
    <x v="65"/>
    <x v="64"/>
    <x v="7"/>
    <x v="11"/>
    <x v="0"/>
    <x v="45"/>
    <s v="doug56@gmail.com"/>
    <x v="1"/>
    <x v="0"/>
    <x v="8"/>
    <n v="21"/>
    <n v="14"/>
    <x v="0"/>
    <x v="0"/>
    <x v="0"/>
  </r>
  <r>
    <s v="QEV-37451-926"/>
    <x v="66"/>
    <x v="65"/>
    <x v="5"/>
    <x v="3"/>
    <x v="7"/>
    <x v="46"/>
    <s v="charlie56@gmail.com"/>
    <x v="4"/>
    <x v="0"/>
    <x v="4"/>
    <n v="70"/>
    <n v="13"/>
    <x v="7"/>
    <x v="4"/>
    <x v="0"/>
  </r>
  <r>
    <s v="QEV-37451-927"/>
    <x v="67"/>
    <x v="66"/>
    <x v="9"/>
    <x v="0"/>
    <x v="0"/>
    <x v="45"/>
    <s v="doug56@gmail.com"/>
    <x v="3"/>
    <x v="0"/>
    <x v="3"/>
    <n v="2"/>
    <n v="14"/>
    <x v="0"/>
    <x v="0"/>
    <x v="0"/>
  </r>
  <r>
    <s v="QEV-37451-928"/>
    <x v="68"/>
    <x v="67"/>
    <x v="7"/>
    <x v="0"/>
    <x v="0"/>
    <x v="47"/>
    <s v="helen56@gmail.com"/>
    <x v="1"/>
    <x v="0"/>
    <x v="3"/>
    <n v="2"/>
    <n v="14"/>
    <x v="0"/>
    <x v="0"/>
    <x v="0"/>
  </r>
  <r>
    <s v="QEV-37451-929"/>
    <x v="69"/>
    <x v="68"/>
    <x v="6"/>
    <x v="1"/>
    <x v="0"/>
    <x v="45"/>
    <s v="doug56@gmail.com"/>
    <x v="1"/>
    <x v="1"/>
    <x v="11"/>
    <n v="340"/>
    <n v="14"/>
    <x v="0"/>
    <x v="0"/>
    <x v="0"/>
  </r>
  <r>
    <s v="QEV-37451-930"/>
    <x v="70"/>
    <x v="69"/>
    <x v="2"/>
    <x v="1"/>
    <x v="0"/>
    <x v="45"/>
    <s v="doug56@gmail.com"/>
    <x v="3"/>
    <x v="1"/>
    <x v="11"/>
    <n v="340"/>
    <n v="14"/>
    <x v="0"/>
    <x v="0"/>
    <x v="0"/>
  </r>
  <r>
    <s v="QEV-37451-931"/>
    <x v="71"/>
    <x v="70"/>
    <x v="3"/>
    <x v="1"/>
    <x v="0"/>
    <x v="44"/>
    <s v="juan56@gmail.com"/>
    <x v="1"/>
    <x v="2"/>
    <x v="11"/>
    <n v="340"/>
    <n v="14"/>
    <x v="0"/>
    <x v="0"/>
    <x v="0"/>
  </r>
  <r>
    <s v="QEV-37451-932"/>
    <x v="72"/>
    <x v="71"/>
    <x v="10"/>
    <x v="10"/>
    <x v="0"/>
    <x v="45"/>
    <s v="doug56@gmail.com"/>
    <x v="0"/>
    <x v="1"/>
    <x v="8"/>
    <n v="500"/>
    <n v="14"/>
    <x v="0"/>
    <x v="0"/>
    <x v="0"/>
  </r>
  <r>
    <s v="QEV-37451-933"/>
    <x v="73"/>
    <x v="72"/>
    <x v="11"/>
    <x v="0"/>
    <x v="0"/>
    <x v="47"/>
    <s v="helen56@gmail.com"/>
    <x v="6"/>
    <x v="0"/>
    <x v="3"/>
    <n v="2"/>
    <n v="14"/>
    <x v="0"/>
    <x v="0"/>
    <x v="0"/>
  </r>
  <r>
    <s v="QEV-37451-934"/>
    <x v="74"/>
    <x v="73"/>
    <x v="8"/>
    <x v="6"/>
    <x v="7"/>
    <x v="46"/>
    <s v="charlie56@gmail.com"/>
    <x v="1"/>
    <x v="0"/>
    <x v="8"/>
    <n v="1"/>
    <n v="13"/>
    <x v="7"/>
    <x v="4"/>
    <x v="1"/>
  </r>
  <r>
    <s v="QEV-37451-935"/>
    <x v="75"/>
    <x v="74"/>
    <x v="5"/>
    <x v="6"/>
    <x v="5"/>
    <x v="47"/>
    <s v="helen56@gmail.com"/>
    <x v="4"/>
    <x v="0"/>
    <x v="8"/>
    <n v="1"/>
    <n v="17"/>
    <x v="5"/>
    <x v="2"/>
    <x v="1"/>
  </r>
  <r>
    <s v="QEV-37451-936"/>
    <x v="76"/>
    <x v="75"/>
    <x v="0"/>
    <x v="6"/>
    <x v="3"/>
    <x v="44"/>
    <s v="juan56@gmail.com"/>
    <x v="1"/>
    <x v="0"/>
    <x v="8"/>
    <n v="1"/>
    <n v="20"/>
    <x v="3"/>
    <x v="2"/>
    <x v="0"/>
  </r>
  <r>
    <s v="QEV-37451-937"/>
    <x v="77"/>
    <x v="76"/>
    <x v="1"/>
    <x v="6"/>
    <x v="1"/>
    <x v="45"/>
    <s v="doug56@gmail.com"/>
    <x v="5"/>
    <x v="0"/>
    <x v="8"/>
    <n v="1"/>
    <n v="15"/>
    <x v="1"/>
    <x v="1"/>
    <x v="0"/>
  </r>
  <r>
    <s v="QEV-37451-938"/>
    <x v="78"/>
    <x v="77"/>
    <x v="7"/>
    <x v="0"/>
    <x v="5"/>
    <x v="47"/>
    <s v="helen56@gmail.com"/>
    <x v="0"/>
    <x v="0"/>
    <x v="3"/>
    <n v="2"/>
    <n v="17"/>
    <x v="5"/>
    <x v="2"/>
    <x v="0"/>
  </r>
  <r>
    <s v="QEV-37451-939"/>
    <x v="79"/>
    <x v="78"/>
    <x v="3"/>
    <x v="1"/>
    <x v="8"/>
    <x v="46"/>
    <s v="charlie56@gmail.com"/>
    <x v="2"/>
    <x v="1"/>
    <x v="11"/>
    <n v="340"/>
    <n v="19"/>
    <x v="8"/>
    <x v="2"/>
    <x v="1"/>
  </r>
  <r>
    <s v="QEV-37451-940"/>
    <x v="80"/>
    <x v="79"/>
    <x v="10"/>
    <x v="1"/>
    <x v="1"/>
    <x v="45"/>
    <s v="doug56@gmail.com"/>
    <x v="6"/>
    <x v="1"/>
    <x v="11"/>
    <n v="340"/>
    <n v="15"/>
    <x v="1"/>
    <x v="1"/>
    <x v="0"/>
  </r>
  <r>
    <s v="QEV-37451-941"/>
    <x v="81"/>
    <x v="80"/>
    <x v="6"/>
    <x v="10"/>
    <x v="6"/>
    <x v="44"/>
    <s v="juan56@gmail.com"/>
    <x v="5"/>
    <x v="1"/>
    <x v="8"/>
    <n v="500"/>
    <n v="16"/>
    <x v="6"/>
    <x v="2"/>
    <x v="1"/>
  </r>
  <r>
    <s v="QEV-37451-942"/>
    <x v="51"/>
    <x v="81"/>
    <x v="9"/>
    <x v="11"/>
    <x v="0"/>
    <x v="47"/>
    <s v="helen56@gmail.com"/>
    <x v="1"/>
    <x v="1"/>
    <x v="8"/>
    <n v="32"/>
    <n v="14"/>
    <x v="0"/>
    <x v="0"/>
    <x v="0"/>
  </r>
  <r>
    <s v="QEV-37451-943"/>
    <x v="82"/>
    <x v="82"/>
    <x v="8"/>
    <x v="1"/>
    <x v="5"/>
    <x v="48"/>
    <s v="smith56@gmail.com"/>
    <x v="3"/>
    <x v="1"/>
    <x v="11"/>
    <n v="340"/>
    <n v="17"/>
    <x v="5"/>
    <x v="2"/>
    <x v="0"/>
  </r>
  <r>
    <s v="QEV-37451-944"/>
    <x v="83"/>
    <x v="83"/>
    <x v="5"/>
    <x v="1"/>
    <x v="0"/>
    <x v="48"/>
    <s v="smith56@gmail.com"/>
    <x v="1"/>
    <x v="1"/>
    <x v="11"/>
    <n v="340"/>
    <n v="14"/>
    <x v="0"/>
    <x v="0"/>
    <x v="0"/>
  </r>
  <r>
    <s v="QEV-37451-945"/>
    <x v="84"/>
    <x v="84"/>
    <x v="10"/>
    <x v="6"/>
    <x v="6"/>
    <x v="49"/>
    <s v="hernandez56@gmail.com"/>
    <x v="4"/>
    <x v="0"/>
    <x v="8"/>
    <n v="1"/>
    <n v="16"/>
    <x v="6"/>
    <x v="2"/>
    <x v="0"/>
  </r>
  <r>
    <s v="QEV-37451-946"/>
    <x v="85"/>
    <x v="85"/>
    <x v="1"/>
    <x v="8"/>
    <x v="6"/>
    <x v="48"/>
    <s v="smith56@gmail.com"/>
    <x v="1"/>
    <x v="0"/>
    <x v="11"/>
    <n v="32"/>
    <n v="16"/>
    <x v="6"/>
    <x v="2"/>
    <x v="0"/>
  </r>
  <r>
    <s v="QEV-37451-947"/>
    <x v="86"/>
    <x v="86"/>
    <x v="3"/>
    <x v="3"/>
    <x v="8"/>
    <x v="50"/>
    <s v="johnson56@gmail.com"/>
    <x v="6"/>
    <x v="0"/>
    <x v="4"/>
    <n v="70"/>
    <n v="19"/>
    <x v="8"/>
    <x v="2"/>
    <x v="0"/>
  </r>
  <r>
    <s v="QEV-37451-948"/>
    <x v="87"/>
    <x v="87"/>
    <x v="2"/>
    <x v="9"/>
    <x v="7"/>
    <x v="51"/>
    <s v="barnes56@gmail.com"/>
    <x v="1"/>
    <x v="0"/>
    <x v="8"/>
    <n v="12"/>
    <n v="13"/>
    <x v="7"/>
    <x v="4"/>
    <x v="0"/>
  </r>
  <r>
    <s v="QEV-37451-949"/>
    <x v="88"/>
    <x v="88"/>
    <x v="9"/>
    <x v="1"/>
    <x v="3"/>
    <x v="50"/>
    <s v="johnson56@gmail.com"/>
    <x v="1"/>
    <x v="1"/>
    <x v="11"/>
    <n v="340"/>
    <n v="20"/>
    <x v="3"/>
    <x v="2"/>
    <x v="0"/>
  </r>
  <r>
    <s v="QEV-37451-950"/>
    <x v="89"/>
    <x v="89"/>
    <x v="6"/>
    <x v="0"/>
    <x v="4"/>
    <x v="49"/>
    <s v="hernandez56@gmail.com"/>
    <x v="6"/>
    <x v="0"/>
    <x v="3"/>
    <n v="2"/>
    <n v="12"/>
    <x v="4"/>
    <x v="3"/>
    <x v="1"/>
  </r>
  <r>
    <s v="QEV-37451-951"/>
    <x v="90"/>
    <x v="90"/>
    <x v="0"/>
    <x v="10"/>
    <x v="5"/>
    <x v="48"/>
    <s v="smith56@gmail.com"/>
    <x v="5"/>
    <x v="1"/>
    <x v="8"/>
    <n v="500"/>
    <n v="17"/>
    <x v="5"/>
    <x v="2"/>
    <x v="1"/>
  </r>
  <r>
    <s v="QEV-37451-952"/>
    <x v="91"/>
    <x v="91"/>
    <x v="5"/>
    <x v="1"/>
    <x v="4"/>
    <x v="50"/>
    <s v="johnson56@gmail.com"/>
    <x v="4"/>
    <x v="1"/>
    <x v="11"/>
    <n v="349"/>
    <n v="12"/>
    <x v="4"/>
    <x v="3"/>
    <x v="1"/>
  </r>
  <r>
    <s v="QEV-37451-953"/>
    <x v="92"/>
    <x v="92"/>
    <x v="6"/>
    <x v="9"/>
    <x v="8"/>
    <x v="51"/>
    <s v="barnes56@gmail.com"/>
    <x v="6"/>
    <x v="0"/>
    <x v="8"/>
    <n v="12"/>
    <n v="19"/>
    <x v="8"/>
    <x v="2"/>
    <x v="1"/>
  </r>
  <r>
    <s v="QEV-37451-954"/>
    <x v="93"/>
    <x v="93"/>
    <x v="8"/>
    <x v="9"/>
    <x v="7"/>
    <x v="48"/>
    <s v="smith56@gmail.com"/>
    <x v="1"/>
    <x v="0"/>
    <x v="8"/>
    <n v="12"/>
    <n v="13"/>
    <x v="7"/>
    <x v="4"/>
    <x v="1"/>
  </r>
  <r>
    <s v="QEV-37451-955"/>
    <x v="65"/>
    <x v="94"/>
    <x v="3"/>
    <x v="1"/>
    <x v="3"/>
    <x v="49"/>
    <s v="hernandez56@gmail.com"/>
    <x v="4"/>
    <x v="1"/>
    <x v="11"/>
    <n v="356"/>
    <n v="20"/>
    <x v="3"/>
    <x v="2"/>
    <x v="1"/>
  </r>
  <r>
    <s v="QEV-37451-956"/>
    <x v="94"/>
    <x v="95"/>
    <x v="5"/>
    <x v="9"/>
    <x v="0"/>
    <x v="50"/>
    <s v="johnson56@gmail.com"/>
    <x v="0"/>
    <x v="0"/>
    <x v="8"/>
    <n v="12"/>
    <n v="14"/>
    <x v="0"/>
    <x v="0"/>
    <x v="1"/>
  </r>
  <r>
    <s v="QEV-37451-957"/>
    <x v="95"/>
    <x v="96"/>
    <x v="2"/>
    <x v="6"/>
    <x v="2"/>
    <x v="0"/>
    <s v="zai56@gmail.com"/>
    <x v="2"/>
    <x v="0"/>
    <x v="8"/>
    <n v="1"/>
    <n v="18"/>
    <x v="2"/>
    <x v="2"/>
    <x v="1"/>
  </r>
  <r>
    <s v="QEV-37451-958"/>
    <x v="96"/>
    <x v="97"/>
    <x v="1"/>
    <x v="1"/>
    <x v="7"/>
    <x v="1"/>
    <s v="rose56@gmail.com"/>
    <x v="3"/>
    <x v="1"/>
    <x v="11"/>
    <n v="345"/>
    <n v="13"/>
    <x v="7"/>
    <x v="4"/>
    <x v="1"/>
  </r>
  <r>
    <s v="QEV-37451-959"/>
    <x v="97"/>
    <x v="98"/>
    <x v="7"/>
    <x v="10"/>
    <x v="2"/>
    <x v="2"/>
    <s v="lily56@gmail.com"/>
    <x v="1"/>
    <x v="1"/>
    <x v="8"/>
    <n v="500"/>
    <n v="18"/>
    <x v="2"/>
    <x v="2"/>
    <x v="1"/>
  </r>
  <r>
    <s v="QEV-37451-960"/>
    <x v="98"/>
    <x v="99"/>
    <x v="10"/>
    <x v="1"/>
    <x v="0"/>
    <x v="3"/>
    <s v="rean56@gmail.com"/>
    <x v="5"/>
    <x v="1"/>
    <x v="11"/>
    <n v="456"/>
    <n v="14"/>
    <x v="0"/>
    <x v="0"/>
    <x v="0"/>
  </r>
  <r>
    <s v="QEV-37451-961"/>
    <x v="99"/>
    <x v="100"/>
    <x v="9"/>
    <x v="8"/>
    <x v="6"/>
    <x v="4"/>
    <s v="fadi56@gmail.com"/>
    <x v="4"/>
    <x v="0"/>
    <x v="8"/>
    <n v="32"/>
    <n v="16"/>
    <x v="6"/>
    <x v="2"/>
    <x v="0"/>
  </r>
  <r>
    <s v="QEV-37451-962"/>
    <x v="100"/>
    <x v="101"/>
    <x v="6"/>
    <x v="3"/>
    <x v="7"/>
    <x v="5"/>
    <s v="snobr56@gmail.com"/>
    <x v="6"/>
    <x v="0"/>
    <x v="4"/>
    <n v="70"/>
    <n v="13"/>
    <x v="7"/>
    <x v="4"/>
    <x v="0"/>
  </r>
  <r>
    <s v="QEV-37451-963"/>
    <x v="101"/>
    <x v="102"/>
    <x v="0"/>
    <x v="1"/>
    <x v="8"/>
    <x v="6"/>
    <s v="robin56@gmail.com"/>
    <x v="5"/>
    <x v="1"/>
    <x v="11"/>
    <n v="345"/>
    <n v="19"/>
    <x v="8"/>
    <x v="2"/>
    <x v="1"/>
  </r>
  <r>
    <s v="QEV-37451-964"/>
    <x v="102"/>
    <x v="103"/>
    <x v="3"/>
    <x v="10"/>
    <x v="8"/>
    <x v="7"/>
    <s v="lone56@gmail.com"/>
    <x v="4"/>
    <x v="3"/>
    <x v="8"/>
    <n v="500"/>
    <n v="19"/>
    <x v="8"/>
    <x v="2"/>
    <x v="0"/>
  </r>
  <r>
    <s v="QEV-37451-965"/>
    <x v="103"/>
    <x v="104"/>
    <x v="10"/>
    <x v="0"/>
    <x v="7"/>
    <x v="8"/>
    <s v="ben56@gmail.com"/>
    <x v="1"/>
    <x v="0"/>
    <x v="7"/>
    <n v="2"/>
    <n v="13"/>
    <x v="7"/>
    <x v="4"/>
    <x v="0"/>
  </r>
  <r>
    <s v="QEV-37451-966"/>
    <x v="104"/>
    <x v="105"/>
    <x v="1"/>
    <x v="1"/>
    <x v="3"/>
    <x v="9"/>
    <s v="ten56@gmail.com"/>
    <x v="1"/>
    <x v="3"/>
    <x v="11"/>
    <n v="345"/>
    <n v="20"/>
    <x v="3"/>
    <x v="2"/>
    <x v="0"/>
  </r>
  <r>
    <s v="QEV-37451-967"/>
    <x v="105"/>
    <x v="106"/>
    <x v="5"/>
    <x v="1"/>
    <x v="0"/>
    <x v="10"/>
    <s v="iron56@gmail.com"/>
    <x v="3"/>
    <x v="3"/>
    <x v="11"/>
    <n v="345"/>
    <n v="14"/>
    <x v="0"/>
    <x v="0"/>
    <x v="0"/>
  </r>
  <r>
    <s v="QEV-37451-968"/>
    <x v="106"/>
    <x v="107"/>
    <x v="6"/>
    <x v="1"/>
    <x v="5"/>
    <x v="11"/>
    <s v="thor56@gmail.com"/>
    <x v="4"/>
    <x v="3"/>
    <x v="11"/>
    <n v="345"/>
    <n v="17"/>
    <x v="5"/>
    <x v="2"/>
    <x v="0"/>
  </r>
  <r>
    <s v="QEV-37451-969"/>
    <x v="107"/>
    <x v="108"/>
    <x v="2"/>
    <x v="1"/>
    <x v="4"/>
    <x v="12"/>
    <s v="shuzka56@gmail.com"/>
    <x v="1"/>
    <x v="1"/>
    <x v="11"/>
    <n v="345"/>
    <n v="12"/>
    <x v="4"/>
    <x v="3"/>
    <x v="0"/>
  </r>
  <r>
    <s v="QEV-37451-970"/>
    <x v="108"/>
    <x v="109"/>
    <x v="10"/>
    <x v="6"/>
    <x v="5"/>
    <x v="13"/>
    <s v="nobita56@gmail.com"/>
    <x v="1"/>
    <x v="0"/>
    <x v="8"/>
    <n v="1"/>
    <n v="17"/>
    <x v="5"/>
    <x v="2"/>
    <x v="0"/>
  </r>
  <r>
    <s v="QEV-37451-971"/>
    <x v="109"/>
    <x v="110"/>
    <x v="9"/>
    <x v="1"/>
    <x v="7"/>
    <x v="14"/>
    <s v="gian56@gmail.com"/>
    <x v="4"/>
    <x v="1"/>
    <x v="11"/>
    <n v="340"/>
    <n v="13"/>
    <x v="7"/>
    <x v="4"/>
    <x v="0"/>
  </r>
  <r>
    <s v="QEV-37451-972"/>
    <x v="110"/>
    <x v="111"/>
    <x v="5"/>
    <x v="1"/>
    <x v="8"/>
    <x v="15"/>
    <s v="sunio56@gmail.com"/>
    <x v="1"/>
    <x v="1"/>
    <x v="11"/>
    <n v="345"/>
    <n v="19"/>
    <x v="8"/>
    <x v="2"/>
    <x v="0"/>
  </r>
  <r>
    <s v="QEV-37451-973"/>
    <x v="52"/>
    <x v="112"/>
    <x v="12"/>
    <x v="9"/>
    <x v="7"/>
    <x v="16"/>
    <s v="dora56@gmail.com"/>
    <x v="5"/>
    <x v="0"/>
    <x v="8"/>
    <n v="12"/>
    <n v="13"/>
    <x v="7"/>
    <x v="4"/>
    <x v="0"/>
  </r>
  <r>
    <s v="QEV-37451-974"/>
    <x v="111"/>
    <x v="113"/>
    <x v="8"/>
    <x v="1"/>
    <x v="6"/>
    <x v="17"/>
    <s v="dorien56@gmail.com"/>
    <x v="0"/>
    <x v="1"/>
    <x v="11"/>
    <n v="340"/>
    <n v="16"/>
    <x v="6"/>
    <x v="2"/>
    <x v="0"/>
  </r>
  <r>
    <s v="QEV-37451-975"/>
    <x v="112"/>
    <x v="114"/>
    <x v="1"/>
    <x v="1"/>
    <x v="0"/>
    <x v="18"/>
    <s v="danyal56@gmail.com"/>
    <x v="2"/>
    <x v="1"/>
    <x v="11"/>
    <n v="345"/>
    <n v="14"/>
    <x v="0"/>
    <x v="0"/>
    <x v="0"/>
  </r>
  <r>
    <s v="QEV-37451-976"/>
    <x v="113"/>
    <x v="115"/>
    <x v="3"/>
    <x v="11"/>
    <x v="0"/>
    <x v="19"/>
    <s v="zaid56@gmail.com"/>
    <x v="4"/>
    <x v="0"/>
    <x v="8"/>
    <n v="32"/>
    <n v="14"/>
    <x v="0"/>
    <x v="0"/>
    <x v="0"/>
  </r>
  <r>
    <s v="QEV-37451-977"/>
    <x v="114"/>
    <x v="116"/>
    <x v="7"/>
    <x v="0"/>
    <x v="8"/>
    <x v="20"/>
    <s v="zawar56@gmail.com"/>
    <x v="1"/>
    <x v="0"/>
    <x v="3"/>
    <n v="2"/>
    <n v="19"/>
    <x v="8"/>
    <x v="2"/>
    <x v="0"/>
  </r>
  <r>
    <s v="QEV-37451-978"/>
    <x v="115"/>
    <x v="117"/>
    <x v="0"/>
    <x v="3"/>
    <x v="7"/>
    <x v="21"/>
    <s v="zeshan56@gmail.com"/>
    <x v="1"/>
    <x v="2"/>
    <x v="4"/>
    <n v="70"/>
    <n v="13"/>
    <x v="7"/>
    <x v="4"/>
    <x v="0"/>
  </r>
  <r>
    <s v="QEV-37451-979"/>
    <x v="116"/>
    <x v="118"/>
    <x v="5"/>
    <x v="1"/>
    <x v="2"/>
    <x v="22"/>
    <s v="mosa56@gmail.com"/>
    <x v="3"/>
    <x v="0"/>
    <x v="11"/>
    <n v="345"/>
    <n v="18"/>
    <x v="2"/>
    <x v="2"/>
    <x v="1"/>
  </r>
  <r>
    <s v="QEV-37451-980"/>
    <x v="117"/>
    <x v="119"/>
    <x v="6"/>
    <x v="9"/>
    <x v="0"/>
    <x v="23"/>
    <s v="arham56@gmail.com"/>
    <x v="1"/>
    <x v="0"/>
    <x v="8"/>
    <n v="2"/>
    <n v="14"/>
    <x v="0"/>
    <x v="0"/>
    <x v="1"/>
  </r>
  <r>
    <s v="QEV-37451-981"/>
    <x v="118"/>
    <x v="120"/>
    <x v="1"/>
    <x v="9"/>
    <x v="1"/>
    <x v="24"/>
    <s v="ahad56@gmail.com"/>
    <x v="6"/>
    <x v="0"/>
    <x v="8"/>
    <n v="2"/>
    <n v="15"/>
    <x v="1"/>
    <x v="1"/>
    <x v="1"/>
  </r>
  <r>
    <s v="QEV-37451-982"/>
    <x v="119"/>
    <x v="121"/>
    <x v="10"/>
    <x v="1"/>
    <x v="1"/>
    <x v="25"/>
    <s v="najam56@gmail.com"/>
    <x v="4"/>
    <x v="0"/>
    <x v="11"/>
    <n v="345"/>
    <n v="15"/>
    <x v="1"/>
    <x v="1"/>
    <x v="1"/>
  </r>
  <r>
    <s v="QEV-37451-983"/>
    <x v="120"/>
    <x v="122"/>
    <x v="8"/>
    <x v="9"/>
    <x v="4"/>
    <x v="26"/>
    <s v="rehman56@gmail.com"/>
    <x v="0"/>
    <x v="0"/>
    <x v="8"/>
    <n v="2"/>
    <n v="12"/>
    <x v="4"/>
    <x v="3"/>
    <x v="0"/>
  </r>
  <r>
    <s v="QEV-37451-984"/>
    <x v="121"/>
    <x v="123"/>
    <x v="9"/>
    <x v="10"/>
    <x v="5"/>
    <x v="27"/>
    <s v="daud56@gmail.com"/>
    <x v="5"/>
    <x v="0"/>
    <x v="8"/>
    <n v="500"/>
    <n v="17"/>
    <x v="5"/>
    <x v="2"/>
    <x v="1"/>
  </r>
  <r>
    <s v="QEV-37451-985"/>
    <x v="122"/>
    <x v="124"/>
    <x v="3"/>
    <x v="6"/>
    <x v="7"/>
    <x v="28"/>
    <s v="qamar56@gmail.com"/>
    <x v="6"/>
    <x v="0"/>
    <x v="8"/>
    <n v="1"/>
    <n v="13"/>
    <x v="7"/>
    <x v="4"/>
    <x v="0"/>
  </r>
  <r>
    <s v="QEV-37451-986"/>
    <x v="123"/>
    <x v="125"/>
    <x v="1"/>
    <x v="12"/>
    <x v="9"/>
    <x v="29"/>
    <s v="skinder56@gmail.com"/>
    <x v="1"/>
    <x v="0"/>
    <x v="16"/>
    <n v="661"/>
    <n v="11"/>
    <x v="9"/>
    <x v="5"/>
    <x v="1"/>
  </r>
  <r>
    <s v="QEV-37451-987"/>
    <x v="124"/>
    <x v="126"/>
    <x v="7"/>
    <x v="12"/>
    <x v="7"/>
    <x v="30"/>
    <s v="shahbaz56@gmail.com"/>
    <x v="6"/>
    <x v="0"/>
    <x v="16"/>
    <n v="661"/>
    <n v="13"/>
    <x v="7"/>
    <x v="4"/>
    <x v="0"/>
  </r>
  <r>
    <s v="QEV-37451-988"/>
    <x v="125"/>
    <x v="127"/>
    <x v="5"/>
    <x v="1"/>
    <x v="6"/>
    <x v="18"/>
    <s v="danyal56@gmail.com"/>
    <x v="4"/>
    <x v="0"/>
    <x v="11"/>
    <n v="345"/>
    <n v="16"/>
    <x v="6"/>
    <x v="2"/>
    <x v="1"/>
  </r>
  <r>
    <s v="QEV-37451-989"/>
    <x v="126"/>
    <x v="128"/>
    <x v="6"/>
    <x v="0"/>
    <x v="7"/>
    <x v="31"/>
    <s v="subhan56@gmail.com"/>
    <x v="6"/>
    <x v="0"/>
    <x v="3"/>
    <n v="2"/>
    <n v="13"/>
    <x v="7"/>
    <x v="4"/>
    <x v="0"/>
  </r>
  <r>
    <s v="QEV-37451-990"/>
    <x v="127"/>
    <x v="129"/>
    <x v="0"/>
    <x v="11"/>
    <x v="2"/>
    <x v="32"/>
    <s v="shan56@gmail.com"/>
    <x v="2"/>
    <x v="0"/>
    <x v="8"/>
    <n v="32"/>
    <n v="18"/>
    <x v="2"/>
    <x v="2"/>
    <x v="1"/>
  </r>
  <r>
    <s v="QEV-37451-991"/>
    <x v="128"/>
    <x v="130"/>
    <x v="10"/>
    <x v="8"/>
    <x v="7"/>
    <x v="33"/>
    <s v="roman56@gmail.com"/>
    <x v="3"/>
    <x v="0"/>
    <x v="8"/>
    <n v="42"/>
    <n v="13"/>
    <x v="7"/>
    <x v="4"/>
    <x v="0"/>
  </r>
  <r>
    <s v="QEV-37451-992"/>
    <x v="129"/>
    <x v="131"/>
    <x v="12"/>
    <x v="1"/>
    <x v="3"/>
    <x v="34"/>
    <s v="tayyab56@gmail.com"/>
    <x v="5"/>
    <x v="0"/>
    <x v="11"/>
    <n v="345"/>
    <n v="20"/>
    <x v="3"/>
    <x v="2"/>
    <x v="1"/>
  </r>
  <r>
    <s v="QEV-37451-993"/>
    <x v="130"/>
    <x v="132"/>
    <x v="2"/>
    <x v="3"/>
    <x v="0"/>
    <x v="35"/>
    <s v="kashif56@gmail.com"/>
    <x v="1"/>
    <x v="0"/>
    <x v="4"/>
    <n v="77"/>
    <n v="14"/>
    <x v="0"/>
    <x v="0"/>
    <x v="0"/>
  </r>
  <r>
    <s v="QEV-37451-994"/>
    <x v="131"/>
    <x v="133"/>
    <x v="10"/>
    <x v="3"/>
    <x v="4"/>
    <x v="36"/>
    <s v="ali56@gmail.com"/>
    <x v="4"/>
    <x v="0"/>
    <x v="4"/>
    <n v="77"/>
    <n v="12"/>
    <x v="4"/>
    <x v="3"/>
    <x v="1"/>
  </r>
  <r>
    <s v="QEV-37451-995"/>
    <x v="132"/>
    <x v="134"/>
    <x v="6"/>
    <x v="12"/>
    <x v="6"/>
    <x v="37"/>
    <s v="vivi56@gmail.com"/>
    <x v="1"/>
    <x v="0"/>
    <x v="16"/>
    <n v="555"/>
    <n v="16"/>
    <x v="6"/>
    <x v="2"/>
    <x v="0"/>
  </r>
  <r>
    <s v="QEV-37451-996"/>
    <x v="133"/>
    <x v="135"/>
    <x v="1"/>
    <x v="3"/>
    <x v="3"/>
    <x v="38"/>
    <s v="ahsan56@gmail.com"/>
    <x v="6"/>
    <x v="0"/>
    <x v="4"/>
    <n v="77"/>
    <n v="20"/>
    <x v="3"/>
    <x v="2"/>
    <x v="1"/>
  </r>
  <r>
    <s v="QEV-37451-997"/>
    <x v="134"/>
    <x v="136"/>
    <x v="5"/>
    <x v="3"/>
    <x v="7"/>
    <x v="39"/>
    <s v="ahad mir56@gmail.com"/>
    <x v="1"/>
    <x v="0"/>
    <x v="4"/>
    <n v="77"/>
    <n v="13"/>
    <x v="7"/>
    <x v="4"/>
    <x v="0"/>
  </r>
  <r>
    <s v="QEV-37451-998"/>
    <x v="135"/>
    <x v="137"/>
    <x v="2"/>
    <x v="1"/>
    <x v="3"/>
    <x v="40"/>
    <s v="sarmad56@gmail.com"/>
    <x v="1"/>
    <x v="0"/>
    <x v="11"/>
    <n v="345"/>
    <n v="20"/>
    <x v="3"/>
    <x v="2"/>
    <x v="1"/>
  </r>
  <r>
    <s v="QEV-37451-999"/>
    <x v="136"/>
    <x v="138"/>
    <x v="9"/>
    <x v="12"/>
    <x v="1"/>
    <x v="41"/>
    <s v="moin56@gmail.com"/>
    <x v="4"/>
    <x v="0"/>
    <x v="11"/>
    <n v="345"/>
    <n v="15"/>
    <x v="1"/>
    <x v="1"/>
    <x v="0"/>
  </r>
  <r>
    <s v="QEV-37451-1000"/>
    <x v="137"/>
    <x v="139"/>
    <x v="3"/>
    <x v="1"/>
    <x v="1"/>
    <x v="52"/>
    <s v="zoi56@gmail.com"/>
    <x v="3"/>
    <x v="0"/>
    <x v="11"/>
    <n v="345"/>
    <n v="15"/>
    <x v="1"/>
    <x v="1"/>
    <x v="1"/>
  </r>
  <r>
    <s v="QEV-37451-1001"/>
    <x v="138"/>
    <x v="140"/>
    <x v="8"/>
    <x v="1"/>
    <x v="7"/>
    <x v="53"/>
    <s v="zuni56@gmail.com"/>
    <x v="4"/>
    <x v="0"/>
    <x v="11"/>
    <n v="345"/>
    <n v="13"/>
    <x v="7"/>
    <x v="4"/>
    <x v="0"/>
  </r>
  <r>
    <s v="QEV-37451-1002"/>
    <x v="139"/>
    <x v="141"/>
    <x v="7"/>
    <x v="1"/>
    <x v="1"/>
    <x v="54"/>
    <s v="zahid56@gmail.com"/>
    <x v="1"/>
    <x v="0"/>
    <x v="11"/>
    <n v="345"/>
    <n v="15"/>
    <x v="1"/>
    <x v="1"/>
    <x v="1"/>
  </r>
  <r>
    <s v="QEV-37451-1003"/>
    <x v="140"/>
    <x v="142"/>
    <x v="5"/>
    <x v="6"/>
    <x v="7"/>
    <x v="55"/>
    <s v="zahr56@gmail.com"/>
    <x v="5"/>
    <x v="0"/>
    <x v="8"/>
    <n v="1"/>
    <n v="13"/>
    <x v="7"/>
    <x v="4"/>
    <x v="0"/>
  </r>
  <r>
    <s v="QEV-37451-1004"/>
    <x v="141"/>
    <x v="143"/>
    <x v="6"/>
    <x v="1"/>
    <x v="7"/>
    <x v="56"/>
    <s v="zht56@gmail.com"/>
    <x v="1"/>
    <x v="0"/>
    <x v="11"/>
    <n v="345"/>
    <n v="13"/>
    <x v="7"/>
    <x v="4"/>
    <x v="1"/>
  </r>
  <r>
    <s v="QEV-37451-1005"/>
    <x v="142"/>
    <x v="144"/>
    <x v="1"/>
    <x v="1"/>
    <x v="0"/>
    <x v="57"/>
    <s v="zubair56@gmail.com"/>
    <x v="0"/>
    <x v="0"/>
    <x v="11"/>
    <n v="345"/>
    <n v="14"/>
    <x v="0"/>
    <x v="0"/>
    <x v="0"/>
  </r>
  <r>
    <s v="QEV-37451-1006"/>
    <x v="143"/>
    <x v="145"/>
    <x v="0"/>
    <x v="1"/>
    <x v="5"/>
    <x v="58"/>
    <s v="ahsn56@gmail.com"/>
    <x v="6"/>
    <x v="0"/>
    <x v="11"/>
    <n v="345"/>
    <n v="17"/>
    <x v="5"/>
    <x v="2"/>
    <x v="1"/>
  </r>
  <r>
    <s v="QEV-37451-1007"/>
    <x v="144"/>
    <x v="146"/>
    <x v="2"/>
    <x v="1"/>
    <x v="7"/>
    <x v="36"/>
    <s v="ali56@gmail.com"/>
    <x v="2"/>
    <x v="0"/>
    <x v="11"/>
    <n v="345"/>
    <n v="13"/>
    <x v="7"/>
    <x v="4"/>
    <x v="0"/>
  </r>
  <r>
    <s v="QEV-37451-1008"/>
    <x v="145"/>
    <x v="147"/>
    <x v="3"/>
    <x v="12"/>
    <x v="1"/>
    <x v="59"/>
    <s v="ameer56@gmail.com"/>
    <x v="4"/>
    <x v="0"/>
    <x v="11"/>
    <n v="345"/>
    <n v="15"/>
    <x v="1"/>
    <x v="1"/>
    <x v="1"/>
  </r>
  <r>
    <s v="QEV-37451-1009"/>
    <x v="146"/>
    <x v="148"/>
    <x v="5"/>
    <x v="10"/>
    <x v="7"/>
    <x v="60"/>
    <s v="anas56@gmail.com"/>
    <x v="1"/>
    <x v="0"/>
    <x v="8"/>
    <n v="345"/>
    <n v="13"/>
    <x v="7"/>
    <x v="4"/>
    <x v="1"/>
  </r>
  <r>
    <s v="QEV-37451-1010"/>
    <x v="147"/>
    <x v="149"/>
    <x v="6"/>
    <x v="12"/>
    <x v="0"/>
    <x v="61"/>
    <s v="artm56@gmail.com"/>
    <x v="5"/>
    <x v="0"/>
    <x v="8"/>
    <n v="555"/>
    <n v="14"/>
    <x v="0"/>
    <x v="0"/>
    <x v="1"/>
  </r>
  <r>
    <s v="QEV-37451-1011"/>
    <x v="148"/>
    <x v="150"/>
    <x v="10"/>
    <x v="9"/>
    <x v="1"/>
    <x v="62"/>
    <s v="ahthsam56@gmail.com"/>
    <x v="3"/>
    <x v="0"/>
    <x v="8"/>
    <n v="12"/>
    <n v="15"/>
    <x v="1"/>
    <x v="1"/>
    <x v="0"/>
  </r>
  <r>
    <s v="QEV-37451-1012"/>
    <x v="149"/>
    <x v="151"/>
    <x v="7"/>
    <x v="12"/>
    <x v="1"/>
    <x v="63"/>
    <s v="atheshma56@gmail.com"/>
    <x v="6"/>
    <x v="0"/>
    <x v="16"/>
    <n v="555"/>
    <n v="15"/>
    <x v="1"/>
    <x v="1"/>
    <x v="0"/>
  </r>
  <r>
    <s v="QEV-37451-1013"/>
    <x v="150"/>
    <x v="152"/>
    <x v="3"/>
    <x v="9"/>
    <x v="1"/>
    <x v="26"/>
    <s v="rehman56@gmail.com"/>
    <x v="1"/>
    <x v="0"/>
    <x v="8"/>
    <n v="12"/>
    <n v="15"/>
    <x v="1"/>
    <x v="1"/>
    <x v="0"/>
  </r>
  <r>
    <s v="QEV-37451-1014"/>
    <x v="151"/>
    <x v="153"/>
    <x v="1"/>
    <x v="10"/>
    <x v="4"/>
    <x v="64"/>
    <s v="razi56@gmail.com"/>
    <x v="1"/>
    <x v="0"/>
    <x v="8"/>
    <n v="550"/>
    <n v="12"/>
    <x v="4"/>
    <x v="3"/>
    <x v="0"/>
  </r>
  <r>
    <s v="QEV-37451-1015"/>
    <x v="152"/>
    <x v="154"/>
    <x v="10"/>
    <x v="8"/>
    <x v="1"/>
    <x v="65"/>
    <s v="qut56@gmail.com"/>
    <x v="4"/>
    <x v="0"/>
    <x v="11"/>
    <n v="42"/>
    <n v="15"/>
    <x v="1"/>
    <x v="1"/>
    <x v="0"/>
  </r>
  <r>
    <s v="QEV-37451-1016"/>
    <x v="153"/>
    <x v="155"/>
    <x v="2"/>
    <x v="0"/>
    <x v="7"/>
    <x v="66"/>
    <s v="quni56@gmail.com"/>
    <x v="1"/>
    <x v="0"/>
    <x v="3"/>
    <n v="2"/>
    <n v="13"/>
    <x v="7"/>
    <x v="4"/>
    <x v="0"/>
  </r>
  <r>
    <s v="QEV-37451-1017"/>
    <x v="154"/>
    <x v="156"/>
    <x v="12"/>
    <x v="12"/>
    <x v="1"/>
    <x v="67"/>
    <s v="shot56@gmail.com"/>
    <x v="5"/>
    <x v="0"/>
    <x v="8"/>
    <n v="555"/>
    <n v="15"/>
    <x v="1"/>
    <x v="1"/>
    <x v="0"/>
  </r>
  <r>
    <s v="QEV-37451-1018"/>
    <x v="155"/>
    <x v="157"/>
    <x v="8"/>
    <x v="0"/>
    <x v="7"/>
    <x v="68"/>
    <s v="sthoy56@gmail.com"/>
    <x v="4"/>
    <x v="0"/>
    <x v="3"/>
    <n v="2"/>
    <n v="13"/>
    <x v="7"/>
    <x v="4"/>
    <x v="0"/>
  </r>
  <r>
    <s v="QEV-37451-1019"/>
    <x v="156"/>
    <x v="158"/>
    <x v="9"/>
    <x v="0"/>
    <x v="0"/>
    <x v="69"/>
    <s v="stokey56@gmail.com"/>
    <x v="0"/>
    <x v="0"/>
    <x v="3"/>
    <n v="2"/>
    <n v="14"/>
    <x v="0"/>
    <x v="0"/>
    <x v="0"/>
  </r>
  <r>
    <s v="QEV-37451-1020"/>
    <x v="157"/>
    <x v="159"/>
    <x v="0"/>
    <x v="1"/>
    <x v="7"/>
    <x v="70"/>
    <s v="dath56@gmail.com"/>
    <x v="6"/>
    <x v="0"/>
    <x v="11"/>
    <n v="345"/>
    <n v="13"/>
    <x v="7"/>
    <x v="4"/>
    <x v="0"/>
  </r>
  <r>
    <s v="QEV-37451-1021"/>
    <x v="158"/>
    <x v="160"/>
    <x v="5"/>
    <x v="1"/>
    <x v="0"/>
    <x v="71"/>
    <s v="wood56@gmail.com"/>
    <x v="2"/>
    <x v="0"/>
    <x v="11"/>
    <n v="345"/>
    <n v="14"/>
    <x v="0"/>
    <x v="0"/>
    <x v="0"/>
  </r>
  <r>
    <s v="QEV-37451-1022"/>
    <x v="159"/>
    <x v="161"/>
    <x v="6"/>
    <x v="6"/>
    <x v="7"/>
    <x v="72"/>
    <s v="arzoo56@gmail.com"/>
    <x v="1"/>
    <x v="0"/>
    <x v="8"/>
    <n v="2"/>
    <n v="13"/>
    <x v="7"/>
    <x v="4"/>
    <x v="1"/>
  </r>
  <r>
    <s v="QEV-37451-1023"/>
    <x v="160"/>
    <x v="162"/>
    <x v="10"/>
    <x v="12"/>
    <x v="7"/>
    <x v="73"/>
    <s v="ansa56@gmail.com"/>
    <x v="5"/>
    <x v="0"/>
    <x v="16"/>
    <n v="555"/>
    <n v="13"/>
    <x v="7"/>
    <x v="4"/>
    <x v="1"/>
  </r>
  <r>
    <s v="QEV-37451-1024"/>
    <x v="161"/>
    <x v="163"/>
    <x v="3"/>
    <x v="1"/>
    <x v="7"/>
    <x v="60"/>
    <s v="anas56@gmail.com"/>
    <x v="6"/>
    <x v="0"/>
    <x v="11"/>
    <n v="345"/>
    <n v="13"/>
    <x v="7"/>
    <x v="4"/>
    <x v="1"/>
  </r>
  <r>
    <s v="QEV-37451-1025"/>
    <x v="162"/>
    <x v="164"/>
    <x v="2"/>
    <x v="10"/>
    <x v="7"/>
    <x v="74"/>
    <s v="iqra56@gmail.com"/>
    <x v="3"/>
    <x v="0"/>
    <x v="8"/>
    <n v="550"/>
    <n v="13"/>
    <x v="7"/>
    <x v="4"/>
    <x v="1"/>
  </r>
  <r>
    <s v="QEV-37451-1026"/>
    <x v="163"/>
    <x v="165"/>
    <x v="1"/>
    <x v="10"/>
    <x v="7"/>
    <x v="75"/>
    <s v="momina56@gmail.com"/>
    <x v="5"/>
    <x v="0"/>
    <x v="8"/>
    <n v="550"/>
    <n v="13"/>
    <x v="7"/>
    <x v="4"/>
    <x v="1"/>
  </r>
  <r>
    <s v="QEV-37451-1027"/>
    <x v="164"/>
    <x v="166"/>
    <x v="7"/>
    <x v="12"/>
    <x v="7"/>
    <x v="76"/>
    <s v="khalil56@gmail.com"/>
    <x v="1"/>
    <x v="0"/>
    <x v="16"/>
    <n v="555"/>
    <n v="13"/>
    <x v="7"/>
    <x v="4"/>
    <x v="1"/>
  </r>
  <r>
    <s v="QEV-37451-1028"/>
    <x v="165"/>
    <x v="167"/>
    <x v="10"/>
    <x v="0"/>
    <x v="2"/>
    <x v="77"/>
    <s v="tanveer56@gmail.com"/>
    <x v="4"/>
    <x v="0"/>
    <x v="7"/>
    <n v="2"/>
    <n v="18"/>
    <x v="2"/>
    <x v="2"/>
    <x v="0"/>
  </r>
  <r>
    <s v="QEV-37451-1029"/>
    <x v="166"/>
    <x v="168"/>
    <x v="3"/>
    <x v="3"/>
    <x v="0"/>
    <x v="78"/>
    <s v="minha56@gmail.com"/>
    <x v="1"/>
    <x v="0"/>
    <x v="4"/>
    <n v="77"/>
    <n v="14"/>
    <x v="0"/>
    <x v="0"/>
    <x v="0"/>
  </r>
  <r>
    <s v="QEV-37451-1030"/>
    <x v="167"/>
    <x v="169"/>
    <x v="1"/>
    <x v="1"/>
    <x v="6"/>
    <x v="79"/>
    <s v="minhal56@gmail.com"/>
    <x v="6"/>
    <x v="0"/>
    <x v="11"/>
    <n v="555"/>
    <n v="16"/>
    <x v="6"/>
    <x v="2"/>
    <x v="0"/>
  </r>
  <r>
    <s v="QEV-37451-1031"/>
    <x v="168"/>
    <x v="170"/>
    <x v="5"/>
    <x v="8"/>
    <x v="7"/>
    <x v="43"/>
    <s v="amna56@gmail.com"/>
    <x v="3"/>
    <x v="0"/>
    <x v="11"/>
    <n v="42"/>
    <n v="13"/>
    <x v="7"/>
    <x v="4"/>
    <x v="0"/>
  </r>
  <r>
    <s v="QEV-37451-1032"/>
    <x v="169"/>
    <x v="171"/>
    <x v="12"/>
    <x v="9"/>
    <x v="0"/>
    <x v="80"/>
    <s v="aeman56@gmail.com"/>
    <x v="5"/>
    <x v="0"/>
    <x v="8"/>
    <n v="12"/>
    <n v="14"/>
    <x v="0"/>
    <x v="0"/>
    <x v="1"/>
  </r>
  <r>
    <s v="QEV-37451-1033"/>
    <x v="170"/>
    <x v="172"/>
    <x v="9"/>
    <x v="1"/>
    <x v="4"/>
    <x v="81"/>
    <s v="afifa56@gmail.com"/>
    <x v="1"/>
    <x v="0"/>
    <x v="11"/>
    <n v="454"/>
    <n v="12"/>
    <x v="4"/>
    <x v="3"/>
    <x v="0"/>
  </r>
  <r>
    <s v="QEV-37451-1034"/>
    <x v="171"/>
    <x v="173"/>
    <x v="0"/>
    <x v="3"/>
    <x v="8"/>
    <x v="82"/>
    <s v="aliza56@gmail.com"/>
    <x v="1"/>
    <x v="0"/>
    <x v="4"/>
    <n v="77"/>
    <n v="19"/>
    <x v="8"/>
    <x v="2"/>
    <x v="0"/>
  </r>
  <r>
    <s v="QEV-37451-1035"/>
    <x v="172"/>
    <x v="174"/>
    <x v="10"/>
    <x v="1"/>
    <x v="0"/>
    <x v="83"/>
    <s v="anzeela56@gmail.com"/>
    <x v="0"/>
    <x v="0"/>
    <x v="11"/>
    <n v="556"/>
    <n v="14"/>
    <x v="0"/>
    <x v="0"/>
    <x v="1"/>
  </r>
  <r>
    <s v="QEV-37451-1036"/>
    <x v="173"/>
    <x v="175"/>
    <x v="3"/>
    <x v="10"/>
    <x v="7"/>
    <x v="84"/>
    <s v="anaya56@gmail.com"/>
    <x v="4"/>
    <x v="0"/>
    <x v="8"/>
    <n v="550"/>
    <n v="13"/>
    <x v="7"/>
    <x v="4"/>
    <x v="0"/>
  </r>
  <r>
    <s v="QEV-37451-1037"/>
    <x v="174"/>
    <x v="176"/>
    <x v="6"/>
    <x v="12"/>
    <x v="1"/>
    <x v="85"/>
    <s v="arooj56@gmail.com"/>
    <x v="0"/>
    <x v="0"/>
    <x v="11"/>
    <n v="555"/>
    <n v="15"/>
    <x v="1"/>
    <x v="1"/>
    <x v="0"/>
  </r>
  <r>
    <s v="QEV-37451-1038"/>
    <x v="175"/>
    <x v="177"/>
    <x v="1"/>
    <x v="9"/>
    <x v="3"/>
    <x v="86"/>
    <s v="hassan56@gmail.com"/>
    <x v="4"/>
    <x v="0"/>
    <x v="8"/>
    <n v="12"/>
    <n v="20"/>
    <x v="3"/>
    <x v="2"/>
    <x v="0"/>
  </r>
  <r>
    <s v="QEV-37451-1039"/>
    <x v="176"/>
    <x v="178"/>
    <x v="7"/>
    <x v="9"/>
    <x v="7"/>
    <x v="35"/>
    <s v="kashif56@gmail.com"/>
    <x v="1"/>
    <x v="0"/>
    <x v="8"/>
    <n v="12"/>
    <n v="13"/>
    <x v="7"/>
    <x v="4"/>
    <x v="0"/>
  </r>
  <r>
    <s v="QEV-37451-1040"/>
    <x v="177"/>
    <x v="179"/>
    <x v="6"/>
    <x v="1"/>
    <x v="0"/>
    <x v="87"/>
    <s v="shban56@gmail.com"/>
    <x v="1"/>
    <x v="0"/>
    <x v="11"/>
    <n v="345"/>
    <n v="14"/>
    <x v="0"/>
    <x v="0"/>
    <x v="0"/>
  </r>
  <r>
    <s v="QEV-37451-1041"/>
    <x v="178"/>
    <x v="180"/>
    <x v="2"/>
    <x v="11"/>
    <x v="3"/>
    <x v="88"/>
    <s v="dar56@gmail.com"/>
    <x v="1"/>
    <x v="0"/>
    <x v="13"/>
    <n v="32"/>
    <n v="20"/>
    <x v="3"/>
    <x v="2"/>
    <x v="0"/>
  </r>
  <r>
    <s v="QEV-37451-1042"/>
    <x v="179"/>
    <x v="181"/>
    <x v="0"/>
    <x v="3"/>
    <x v="7"/>
    <x v="89"/>
    <s v="shifiq56@gmail.com"/>
    <x v="2"/>
    <x v="0"/>
    <x v="4"/>
    <n v="77"/>
    <n v="13"/>
    <x v="7"/>
    <x v="4"/>
    <x v="1"/>
  </r>
  <r>
    <s v="QEV-37451-1043"/>
    <x v="180"/>
    <x v="182"/>
    <x v="5"/>
    <x v="3"/>
    <x v="5"/>
    <x v="90"/>
    <s v="usman56@gmail.com"/>
    <x v="0"/>
    <x v="0"/>
    <x v="4"/>
    <n v="77"/>
    <n v="17"/>
    <x v="5"/>
    <x v="2"/>
    <x v="0"/>
  </r>
  <r>
    <s v="QEV-37451-1044"/>
    <x v="181"/>
    <x v="183"/>
    <x v="6"/>
    <x v="0"/>
    <x v="7"/>
    <x v="91"/>
    <s v="hina56@gmail.com"/>
    <x v="3"/>
    <x v="0"/>
    <x v="3"/>
    <n v="2"/>
    <n v="13"/>
    <x v="7"/>
    <x v="4"/>
    <x v="0"/>
  </r>
  <r>
    <s v="QEV-37451-1045"/>
    <x v="182"/>
    <x v="184"/>
    <x v="3"/>
    <x v="6"/>
    <x v="5"/>
    <x v="92"/>
    <s v="zaniab56@gmail.com"/>
    <x v="2"/>
    <x v="0"/>
    <x v="17"/>
    <n v="1"/>
    <n v="17"/>
    <x v="5"/>
    <x v="2"/>
    <x v="0"/>
  </r>
  <r>
    <s v="QEV-37451-1046"/>
    <x v="183"/>
    <x v="185"/>
    <x v="2"/>
    <x v="1"/>
    <x v="7"/>
    <x v="93"/>
    <s v="nouman56@gmail.com"/>
    <x v="0"/>
    <x v="0"/>
    <x v="11"/>
    <n v="345"/>
    <n v="13"/>
    <x v="7"/>
    <x v="4"/>
    <x v="0"/>
  </r>
  <r>
    <s v="QEV-37451-1047"/>
    <x v="184"/>
    <x v="186"/>
    <x v="6"/>
    <x v="6"/>
    <x v="1"/>
    <x v="94"/>
    <s v="fhad56@gmail.com"/>
    <x v="1"/>
    <x v="0"/>
    <x v="17"/>
    <n v="1"/>
    <n v="15"/>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5" minRefreshableVersion="5" useAutoFormatting="1" itemPrintTitles="1" createdVersion="5" indent="0" compact="0" compactData="0" multipleFieldFilters="0" chartFormat="36">
  <location ref="A3:G38" firstHeaderRow="1" firstDataRow="2" firstDataCol="2"/>
  <pivotFields count="17">
    <pivotField compact="0" outline="0" showAll="0"/>
    <pivotField axis="axisRow"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9">
        <item x="3"/>
        <item x="6"/>
        <item x="4"/>
        <item x="2"/>
        <item x="5"/>
        <item m="1" x="7"/>
        <item x="0"/>
        <item x="1"/>
        <item t="default"/>
      </items>
    </pivotField>
    <pivotField axis="axisCol" compact="0" outline="0" showAll="0">
      <items count="5">
        <item x="0"/>
        <item x="2"/>
        <item x="3"/>
        <item x="1"/>
        <item t="default"/>
      </items>
    </pivotField>
    <pivotField compact="0" outline="0" showAll="0"/>
    <pivotField compact="0" outline="0" showAll="0"/>
    <pivotField dataField="1" compact="0" outline="0" showAll="0"/>
    <pivotField compact="0" outline="0" showAll="0"/>
    <pivotField compact="0" outline="0" showAll="0"/>
    <pivotField compact="0" outline="0" showAll="0" defaultSubtotal="0">
      <items count="2">
        <item x="1"/>
        <item x="0"/>
      </items>
    </pivotField>
    <pivotField axis="axisRow" compact="0" outline="0" showAll="0" defaultSubtotal="0">
      <items count="9">
        <item x="1"/>
        <item x="2"/>
        <item x="3"/>
        <item x="4"/>
        <item x="5"/>
        <item x="6"/>
        <item x="7"/>
        <item x="8"/>
        <item x="0"/>
      </items>
    </pivotField>
  </pivotFields>
  <rowFields count="2">
    <field x="16"/>
    <field x="1"/>
  </rowFields>
  <rowItems count="34">
    <i>
      <x/>
      <x v="1"/>
    </i>
    <i r="1">
      <x v="2"/>
    </i>
    <i r="1">
      <x v="3"/>
    </i>
    <i r="1">
      <x v="4"/>
    </i>
    <i r="1">
      <x v="5"/>
    </i>
    <i r="1">
      <x v="6"/>
    </i>
    <i r="1">
      <x v="7"/>
    </i>
    <i r="1">
      <x v="8"/>
    </i>
    <i r="1">
      <x v="9"/>
    </i>
    <i r="1">
      <x v="10"/>
    </i>
    <i r="1">
      <x v="11"/>
    </i>
    <i r="1">
      <x v="12"/>
    </i>
    <i>
      <x v="1"/>
      <x v="1"/>
    </i>
    <i r="1">
      <x v="2"/>
    </i>
    <i r="1">
      <x v="3"/>
    </i>
    <i r="1">
      <x v="8"/>
    </i>
    <i r="1">
      <x v="9"/>
    </i>
    <i r="1">
      <x v="11"/>
    </i>
    <i>
      <x v="2"/>
      <x v="3"/>
    </i>
    <i r="1">
      <x v="12"/>
    </i>
    <i>
      <x v="3"/>
      <x v="1"/>
    </i>
    <i r="1">
      <x v="11"/>
    </i>
    <i>
      <x v="4"/>
      <x v="1"/>
    </i>
    <i r="1">
      <x v="5"/>
    </i>
    <i r="1">
      <x v="9"/>
    </i>
    <i r="1">
      <x v="10"/>
    </i>
    <i r="1">
      <x v="11"/>
    </i>
    <i>
      <x v="5"/>
      <x v="1"/>
    </i>
    <i r="1">
      <x v="2"/>
    </i>
    <i r="1">
      <x v="4"/>
    </i>
    <i r="1">
      <x v="9"/>
    </i>
    <i r="1">
      <x v="12"/>
    </i>
    <i>
      <x v="6"/>
      <x v="2"/>
    </i>
    <i t="grand">
      <x/>
    </i>
  </rowItems>
  <colFields count="1">
    <field x="9"/>
  </colFields>
  <colItems count="5">
    <i>
      <x/>
    </i>
    <i>
      <x v="1"/>
    </i>
    <i>
      <x v="2"/>
    </i>
    <i>
      <x v="3"/>
    </i>
    <i t="grand">
      <x/>
    </i>
  </colItems>
  <dataFields count="1">
    <dataField name="Sum of Sales" fld="12" baseField="0" baseItem="0"/>
  </dataFields>
  <chartFormats count="9">
    <chartFormat chart="23" format="0" series="1">
      <pivotArea type="data" outline="0" fieldPosition="0">
        <references count="2">
          <reference field="4294967294" count="1" selected="0">
            <x v="0"/>
          </reference>
          <reference field="9" count="1" selected="0">
            <x v="0"/>
          </reference>
        </references>
      </pivotArea>
    </chartFormat>
    <chartFormat chart="23" format="1" series="1">
      <pivotArea type="data" outline="0" fieldPosition="0">
        <references count="2">
          <reference field="4294967294" count="1" selected="0">
            <x v="0"/>
          </reference>
          <reference field="9" count="1" selected="0">
            <x v="1"/>
          </reference>
        </references>
      </pivotArea>
    </chartFormat>
    <chartFormat chart="23" format="2" series="1">
      <pivotArea type="data" outline="0" fieldPosition="0">
        <references count="2">
          <reference field="4294967294" count="1" selected="0">
            <x v="0"/>
          </reference>
          <reference field="9" count="1" selected="0">
            <x v="2"/>
          </reference>
        </references>
      </pivotArea>
    </chartFormat>
    <chartFormat chart="23" format="3" series="1">
      <pivotArea type="data" outline="0" fieldPosition="0">
        <references count="2">
          <reference field="4294967294" count="1" selected="0">
            <x v="0"/>
          </reference>
          <reference field="9" count="1" selected="0">
            <x v="3"/>
          </reference>
        </references>
      </pivotArea>
    </chartFormat>
    <chartFormat chart="23" format="4" series="1">
      <pivotArea type="data" outline="0" fieldPosition="0">
        <references count="1">
          <reference field="4294967294" count="1" selected="0">
            <x v="0"/>
          </reference>
        </references>
      </pivotArea>
    </chartFormat>
    <chartFormat chart="35" format="9" series="1">
      <pivotArea type="data" outline="0" fieldPosition="0">
        <references count="2">
          <reference field="4294967294" count="1" selected="0">
            <x v="0"/>
          </reference>
          <reference field="9" count="1" selected="0">
            <x v="0"/>
          </reference>
        </references>
      </pivotArea>
    </chartFormat>
    <chartFormat chart="35" format="10" series="1">
      <pivotArea type="data" outline="0" fieldPosition="0">
        <references count="2">
          <reference field="4294967294" count="1" selected="0">
            <x v="0"/>
          </reference>
          <reference field="9" count="1" selected="0">
            <x v="1"/>
          </reference>
        </references>
      </pivotArea>
    </chartFormat>
    <chartFormat chart="35" format="11" series="1">
      <pivotArea type="data" outline="0" fieldPosition="0">
        <references count="2">
          <reference field="4294967294" count="1" selected="0">
            <x v="0"/>
          </reference>
          <reference field="9" count="1" selected="0">
            <x v="2"/>
          </reference>
        </references>
      </pivotArea>
    </chartFormat>
    <chartFormat chart="35" format="12"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5" minRefreshableVersion="5" useAutoFormatting="1" itemPrintTitles="1" createdVersion="5" indent="0" compact="0" compactData="0" multipleFieldFilters="0" chartFormat="45">
  <location ref="A3:B11" firstHeaderRow="1" firstDataRow="1" firstDataCol="1"/>
  <pivotFields count="17">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9">
        <item x="1"/>
        <item x="0"/>
        <item m="1" x="7"/>
        <item x="5"/>
        <item x="2"/>
        <item x="4"/>
        <item x="6"/>
        <item x="3"/>
        <item t="default"/>
      </items>
    </pivotField>
    <pivotField compact="0" outline="0" showAll="0">
      <items count="5">
        <item x="0"/>
        <item x="2"/>
        <item x="3"/>
        <item x="1"/>
        <item t="default"/>
      </items>
    </pivotField>
    <pivotField compact="0" outline="0" showAll="0"/>
    <pivotField compact="0" outline="0" showAll="0"/>
    <pivotField dataField="1" compact="0" outline="0" showAll="0"/>
    <pivotField compact="0" outline="0" showAll="0"/>
    <pivotField compact="0" outline="0" showAll="0"/>
    <pivotField compact="0" outline="0" showAll="0" defaultSubtotal="0">
      <items count="2">
        <item x="1"/>
        <item x="0"/>
      </items>
    </pivotField>
    <pivotField compact="0" outline="0" showAll="0" defaultSubtotal="0">
      <items count="9">
        <item x="1"/>
        <item x="2"/>
        <item x="3"/>
        <item x="4"/>
        <item x="5"/>
        <item x="6"/>
        <item x="7"/>
        <item x="8"/>
        <item x="0"/>
      </items>
    </pivotField>
  </pivotFields>
  <rowFields count="1">
    <field x="8"/>
  </rowFields>
  <rowItems count="8">
    <i>
      <x/>
    </i>
    <i>
      <x v="1"/>
    </i>
    <i>
      <x v="3"/>
    </i>
    <i>
      <x v="4"/>
    </i>
    <i>
      <x v="5"/>
    </i>
    <i>
      <x v="6"/>
    </i>
    <i>
      <x v="7"/>
    </i>
    <i t="grand">
      <x/>
    </i>
  </rowItems>
  <colItems count="1">
    <i/>
  </colItems>
  <dataFields count="1">
    <dataField name="Sum of Sales" fld="12" baseField="0" baseItem="0"/>
  </dataFields>
  <chartFormats count="17">
    <chartFormat chart="34" format="1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1" format="1">
      <pivotArea type="data" outline="0" fieldPosition="0">
        <references count="2">
          <reference field="4294967294" count="1" selected="0">
            <x v="0"/>
          </reference>
          <reference field="8" count="1" selected="0">
            <x v="0"/>
          </reference>
        </references>
      </pivotArea>
    </chartFormat>
    <chartFormat chart="41" format="2">
      <pivotArea type="data" outline="0" fieldPosition="0">
        <references count="2">
          <reference field="4294967294" count="1" selected="0">
            <x v="0"/>
          </reference>
          <reference field="8" count="1" selected="0">
            <x v="1"/>
          </reference>
        </references>
      </pivotArea>
    </chartFormat>
    <chartFormat chart="41" format="3">
      <pivotArea type="data" outline="0" fieldPosition="0">
        <references count="2">
          <reference field="4294967294" count="1" selected="0">
            <x v="0"/>
          </reference>
          <reference field="8" count="1" selected="0">
            <x v="3"/>
          </reference>
        </references>
      </pivotArea>
    </chartFormat>
    <chartFormat chart="41" format="4">
      <pivotArea type="data" outline="0" fieldPosition="0">
        <references count="2">
          <reference field="4294967294" count="1" selected="0">
            <x v="0"/>
          </reference>
          <reference field="8" count="1" selected="0">
            <x v="4"/>
          </reference>
        </references>
      </pivotArea>
    </chartFormat>
    <chartFormat chart="41" format="5">
      <pivotArea type="data" outline="0" fieldPosition="0">
        <references count="2">
          <reference field="4294967294" count="1" selected="0">
            <x v="0"/>
          </reference>
          <reference field="8" count="1" selected="0">
            <x v="5"/>
          </reference>
        </references>
      </pivotArea>
    </chartFormat>
    <chartFormat chart="41" format="6">
      <pivotArea type="data" outline="0" fieldPosition="0">
        <references count="2">
          <reference field="4294967294" count="1" selected="0">
            <x v="0"/>
          </reference>
          <reference field="8" count="1" selected="0">
            <x v="6"/>
          </reference>
        </references>
      </pivotArea>
    </chartFormat>
    <chartFormat chart="41" format="7">
      <pivotArea type="data" outline="0" fieldPosition="0">
        <references count="2">
          <reference field="4294967294" count="1" selected="0">
            <x v="0"/>
          </reference>
          <reference field="8" count="1" selected="0">
            <x v="7"/>
          </reference>
        </references>
      </pivotArea>
    </chartFormat>
    <chartFormat chart="44" format="16" series="1">
      <pivotArea type="data" outline="0" fieldPosition="0">
        <references count="1">
          <reference field="4294967294" count="1" selected="0">
            <x v="0"/>
          </reference>
        </references>
      </pivotArea>
    </chartFormat>
    <chartFormat chart="44" format="17">
      <pivotArea type="data" outline="0" fieldPosition="0">
        <references count="2">
          <reference field="4294967294" count="1" selected="0">
            <x v="0"/>
          </reference>
          <reference field="8" count="1" selected="0">
            <x v="0"/>
          </reference>
        </references>
      </pivotArea>
    </chartFormat>
    <chartFormat chart="44" format="18">
      <pivotArea type="data" outline="0" fieldPosition="0">
        <references count="2">
          <reference field="4294967294" count="1" selected="0">
            <x v="0"/>
          </reference>
          <reference field="8" count="1" selected="0">
            <x v="1"/>
          </reference>
        </references>
      </pivotArea>
    </chartFormat>
    <chartFormat chart="44" format="19">
      <pivotArea type="data" outline="0" fieldPosition="0">
        <references count="2">
          <reference field="4294967294" count="1" selected="0">
            <x v="0"/>
          </reference>
          <reference field="8" count="1" selected="0">
            <x v="3"/>
          </reference>
        </references>
      </pivotArea>
    </chartFormat>
    <chartFormat chart="44" format="20">
      <pivotArea type="data" outline="0" fieldPosition="0">
        <references count="2">
          <reference field="4294967294" count="1" selected="0">
            <x v="0"/>
          </reference>
          <reference field="8" count="1" selected="0">
            <x v="4"/>
          </reference>
        </references>
      </pivotArea>
    </chartFormat>
    <chartFormat chart="44" format="21">
      <pivotArea type="data" outline="0" fieldPosition="0">
        <references count="2">
          <reference field="4294967294" count="1" selected="0">
            <x v="0"/>
          </reference>
          <reference field="8" count="1" selected="0">
            <x v="5"/>
          </reference>
        </references>
      </pivotArea>
    </chartFormat>
    <chartFormat chart="44" format="22">
      <pivotArea type="data" outline="0" fieldPosition="0">
        <references count="2">
          <reference field="4294967294" count="1" selected="0">
            <x v="0"/>
          </reference>
          <reference field="8" count="1" selected="0">
            <x v="6"/>
          </reference>
        </references>
      </pivotArea>
    </chartFormat>
    <chartFormat chart="44" format="23">
      <pivotArea type="data" outline="0" fieldPosition="0">
        <references count="2">
          <reference field="4294967294" count="1" selected="0">
            <x v="0"/>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5" minRefreshableVersion="5" useAutoFormatting="1" itemPrintTitles="1" createdVersion="5" indent="0" compact="0" compactData="0" multipleFieldFilters="0" chartFormat="47">
  <location ref="A3:B10" firstHeaderRow="1" firstDataRow="1" firstDataCol="1"/>
  <pivotFields count="17">
    <pivotField compact="0" outline="0" showAll="0"/>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axis="axisRow" compact="0" outline="0" showAll="0" measureFilter="1" sortType="ascending">
      <items count="96">
        <item x="53"/>
        <item x="57"/>
        <item x="52"/>
        <item x="56"/>
        <item x="21"/>
        <item x="20"/>
        <item x="92"/>
        <item x="19"/>
        <item x="0"/>
        <item x="55"/>
        <item x="54"/>
        <item x="71"/>
        <item x="37"/>
        <item x="90"/>
        <item x="11"/>
        <item x="9"/>
        <item x="34"/>
        <item x="77"/>
        <item x="15"/>
        <item x="31"/>
        <item x="69"/>
        <item x="68"/>
        <item x="5"/>
        <item x="48"/>
        <item x="29"/>
        <item x="12"/>
        <item x="67"/>
        <item x="89"/>
        <item x="87"/>
        <item x="32"/>
        <item x="30"/>
        <item x="40"/>
        <item x="42"/>
        <item x="1"/>
        <item x="33"/>
        <item x="6"/>
        <item x="26"/>
        <item x="3"/>
        <item x="64"/>
        <item x="65"/>
        <item x="66"/>
        <item x="28"/>
        <item x="93"/>
        <item x="13"/>
        <item x="25"/>
        <item x="22"/>
        <item x="75"/>
        <item x="41"/>
        <item x="79"/>
        <item x="78"/>
        <item x="7"/>
        <item x="2"/>
        <item x="76"/>
        <item x="35"/>
        <item x="44"/>
        <item x="50"/>
        <item x="10"/>
        <item x="74"/>
        <item x="91"/>
        <item x="49"/>
        <item x="47"/>
        <item x="86"/>
        <item x="14"/>
        <item x="94"/>
        <item x="4"/>
        <item x="45"/>
        <item x="17"/>
        <item x="16"/>
        <item x="27"/>
        <item x="70"/>
        <item x="88"/>
        <item x="18"/>
        <item x="46"/>
        <item x="8"/>
        <item x="51"/>
        <item x="63"/>
        <item x="72"/>
        <item x="61"/>
        <item x="85"/>
        <item x="23"/>
        <item x="83"/>
        <item x="73"/>
        <item x="84"/>
        <item x="60"/>
        <item x="43"/>
        <item x="59"/>
        <item x="82"/>
        <item x="36"/>
        <item x="62"/>
        <item x="58"/>
        <item x="38"/>
        <item x="39"/>
        <item x="24"/>
        <item x="81"/>
        <item x="80"/>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descending">
      <items count="9">
        <item x="1"/>
        <item x="0"/>
        <item m="1" x="7"/>
        <item x="5"/>
        <item x="2"/>
        <item x="4"/>
        <item x="6"/>
        <item x="3"/>
        <item t="default"/>
      </items>
    </pivotField>
    <pivotField compact="0" outline="0" showAll="0">
      <items count="5">
        <item x="0"/>
        <item x="2"/>
        <item x="3"/>
        <item x="1"/>
        <item t="default"/>
      </items>
    </pivotField>
    <pivotField compact="0" outline="0" showAll="0"/>
    <pivotField compact="0" outline="0" showAll="0"/>
    <pivotField dataField="1" compact="0" outline="0" showAll="0"/>
    <pivotField compact="0" outline="0" showAll="0"/>
    <pivotField compact="0" outline="0" showAll="0"/>
    <pivotField compact="0" outline="0" showAll="0" defaultSubtotal="0">
      <items count="2">
        <item x="1"/>
        <item x="0"/>
      </items>
    </pivotField>
    <pivotField compact="0" outline="0" showAll="0" defaultSubtotal="0">
      <items count="9">
        <item x="1"/>
        <item x="2"/>
        <item x="3"/>
        <item x="4"/>
        <item x="5"/>
        <item x="6"/>
        <item x="7"/>
        <item x="8"/>
        <item x="0"/>
      </items>
    </pivotField>
  </pivotFields>
  <rowFields count="1">
    <field x="6"/>
  </rowFields>
  <rowItems count="7">
    <i>
      <x v="55"/>
    </i>
    <i>
      <x v="23"/>
    </i>
    <i>
      <x v="72"/>
    </i>
    <i>
      <x v="54"/>
    </i>
    <i>
      <x v="60"/>
    </i>
    <i>
      <x v="65"/>
    </i>
    <i t="grand">
      <x/>
    </i>
  </rowItems>
  <colItems count="1">
    <i/>
  </colItems>
  <dataFields count="1">
    <dataField name="Sum of Sales" fld="12" baseField="0" baseItem="0"/>
  </dataFields>
  <chartFormats count="24">
    <chartFormat chart="34" format="1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11" series="1">
      <pivotArea type="data" outline="0" fieldPosition="0">
        <references count="1">
          <reference field="4294967294" count="1" selected="0">
            <x v="0"/>
          </reference>
        </references>
      </pivotArea>
    </chartFormat>
    <chartFormat chart="44" format="8" series="1">
      <pivotArea type="data" outline="0" fieldPosition="0">
        <references count="1">
          <reference field="4294967294" count="1" selected="0">
            <x v="0"/>
          </reference>
        </references>
      </pivotArea>
    </chartFormat>
    <chartFormat chart="44" format="16">
      <pivotArea type="data" outline="0" fieldPosition="0">
        <references count="2">
          <reference field="4294967294" count="1" selected="0">
            <x v="0"/>
          </reference>
          <reference field="6" count="1" selected="0">
            <x v="65"/>
          </reference>
        </references>
      </pivotArea>
    </chartFormat>
    <chartFormat chart="44" format="17">
      <pivotArea type="data" outline="0" fieldPosition="0">
        <references count="2">
          <reference field="4294967294" count="1" selected="0">
            <x v="0"/>
          </reference>
          <reference field="6" count="1" selected="0">
            <x v="60"/>
          </reference>
        </references>
      </pivotArea>
    </chartFormat>
    <chartFormat chart="44" format="18">
      <pivotArea type="data" outline="0" fieldPosition="0">
        <references count="2">
          <reference field="4294967294" count="1" selected="0">
            <x v="0"/>
          </reference>
          <reference field="6" count="1" selected="0">
            <x v="54"/>
          </reference>
        </references>
      </pivotArea>
    </chartFormat>
    <chartFormat chart="44" format="19">
      <pivotArea type="data" outline="0" fieldPosition="0">
        <references count="2">
          <reference field="4294967294" count="1" selected="0">
            <x v="0"/>
          </reference>
          <reference field="6" count="1" selected="0">
            <x v="72"/>
          </reference>
        </references>
      </pivotArea>
    </chartFormat>
    <chartFormat chart="44" format="20">
      <pivotArea type="data" outline="0" fieldPosition="0">
        <references count="2">
          <reference field="4294967294" count="1" selected="0">
            <x v="0"/>
          </reference>
          <reference field="6" count="1" selected="0">
            <x v="23"/>
          </reference>
        </references>
      </pivotArea>
    </chartFormat>
    <chartFormat chart="44" format="21">
      <pivotArea type="data" outline="0" fieldPosition="0">
        <references count="2">
          <reference field="4294967294" count="1" selected="0">
            <x v="0"/>
          </reference>
          <reference field="6" count="1" selected="0">
            <x v="55"/>
          </reference>
        </references>
      </pivotArea>
    </chartFormat>
    <chartFormat chart="45" format="22" series="1">
      <pivotArea type="data" outline="0" fieldPosition="0">
        <references count="1">
          <reference field="4294967294" count="1" selected="0">
            <x v="0"/>
          </reference>
        </references>
      </pivotArea>
    </chartFormat>
    <chartFormat chart="45" format="23">
      <pivotArea type="data" outline="0" fieldPosition="0">
        <references count="2">
          <reference field="4294967294" count="1" selected="0">
            <x v="0"/>
          </reference>
          <reference field="6" count="1" selected="0">
            <x v="55"/>
          </reference>
        </references>
      </pivotArea>
    </chartFormat>
    <chartFormat chart="45" format="24">
      <pivotArea type="data" outline="0" fieldPosition="0">
        <references count="2">
          <reference field="4294967294" count="1" selected="0">
            <x v="0"/>
          </reference>
          <reference field="6" count="1" selected="0">
            <x v="23"/>
          </reference>
        </references>
      </pivotArea>
    </chartFormat>
    <chartFormat chart="45" format="25">
      <pivotArea type="data" outline="0" fieldPosition="0">
        <references count="2">
          <reference field="4294967294" count="1" selected="0">
            <x v="0"/>
          </reference>
          <reference field="6" count="1" selected="0">
            <x v="72"/>
          </reference>
        </references>
      </pivotArea>
    </chartFormat>
    <chartFormat chart="45" format="26">
      <pivotArea type="data" outline="0" fieldPosition="0">
        <references count="2">
          <reference field="4294967294" count="1" selected="0">
            <x v="0"/>
          </reference>
          <reference field="6" count="1" selected="0">
            <x v="54"/>
          </reference>
        </references>
      </pivotArea>
    </chartFormat>
    <chartFormat chart="45" format="27">
      <pivotArea type="data" outline="0" fieldPosition="0">
        <references count="2">
          <reference field="4294967294" count="1" selected="0">
            <x v="0"/>
          </reference>
          <reference field="6" count="1" selected="0">
            <x v="60"/>
          </reference>
        </references>
      </pivotArea>
    </chartFormat>
    <chartFormat chart="45" format="28">
      <pivotArea type="data" outline="0" fieldPosition="0">
        <references count="2">
          <reference field="4294967294" count="1" selected="0">
            <x v="0"/>
          </reference>
          <reference field="6" count="1" selected="0">
            <x v="65"/>
          </reference>
        </references>
      </pivotArea>
    </chartFormat>
    <chartFormat chart="46" format="29" series="1">
      <pivotArea type="data" outline="0" fieldPosition="0">
        <references count="1">
          <reference field="4294967294" count="1" selected="0">
            <x v="0"/>
          </reference>
        </references>
      </pivotArea>
    </chartFormat>
    <chartFormat chart="46" format="30">
      <pivotArea type="data" outline="0" fieldPosition="0">
        <references count="2">
          <reference field="4294967294" count="1" selected="0">
            <x v="0"/>
          </reference>
          <reference field="6" count="1" selected="0">
            <x v="55"/>
          </reference>
        </references>
      </pivotArea>
    </chartFormat>
    <chartFormat chart="46" format="31">
      <pivotArea type="data" outline="0" fieldPosition="0">
        <references count="2">
          <reference field="4294967294" count="1" selected="0">
            <x v="0"/>
          </reference>
          <reference field="6" count="1" selected="0">
            <x v="23"/>
          </reference>
        </references>
      </pivotArea>
    </chartFormat>
    <chartFormat chart="46" format="32">
      <pivotArea type="data" outline="0" fieldPosition="0">
        <references count="2">
          <reference field="4294967294" count="1" selected="0">
            <x v="0"/>
          </reference>
          <reference field="6" count="1" selected="0">
            <x v="72"/>
          </reference>
        </references>
      </pivotArea>
    </chartFormat>
    <chartFormat chart="46" format="33">
      <pivotArea type="data" outline="0" fieldPosition="0">
        <references count="2">
          <reference field="4294967294" count="1" selected="0">
            <x v="0"/>
          </reference>
          <reference field="6" count="1" selected="0">
            <x v="54"/>
          </reference>
        </references>
      </pivotArea>
    </chartFormat>
    <chartFormat chart="46" format="34">
      <pivotArea type="data" outline="0" fieldPosition="0">
        <references count="2">
          <reference field="4294967294" count="1" selected="0">
            <x v="0"/>
          </reference>
          <reference field="6" count="1" selected="0">
            <x v="60"/>
          </reference>
        </references>
      </pivotArea>
    </chartFormat>
    <chartFormat chart="46" format="35">
      <pivotArea type="data" outline="0" fieldPosition="0">
        <references count="2">
          <reference field="4294967294" count="1" selected="0">
            <x v="0"/>
          </reference>
          <reference field="6" count="1" selected="0">
            <x v="65"/>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yality_card" sourceName="Loyality card ">
  <pivotTables>
    <pivotTable tabId="6" name="PivotTable2"/>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6" name="PivotTable2"/>
  </pivotTables>
  <data>
    <tabular pivotCacheId="1">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6" name="PivotTable2"/>
  </pivotTables>
  <data>
    <tabular pivotCacheId="1">
      <items count="8">
        <i x="3" s="1"/>
        <i x="6" s="1"/>
        <i x="4" s="1"/>
        <i x="2" s="1"/>
        <i x="5" s="1"/>
        <i x="0" s="1"/>
        <i x="1" s="1"/>
        <i x="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Loyality_card1" sourceName="Loyality card ">
  <pivotTables>
    <pivotTable tabId="12" name="PivotTable2"/>
  </pivotTables>
  <data>
    <tabular pivotCacheId="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Type1" sourceName="Type">
  <pivotTables>
    <pivotTable tabId="12" name="PivotTable2"/>
  </pivotTables>
  <data>
    <tabular pivotCacheId="1">
      <items count="4">
        <i x="0"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Country1" sourceName="Country">
  <pivotTables>
    <pivotTable tabId="12" name="PivotTable2"/>
  </pivotTables>
  <data>
    <tabular pivotCacheId="1">
      <items count="8">
        <i x="3" s="1"/>
        <i x="6" s="1"/>
        <i x="4" s="1"/>
        <i x="2" s="1"/>
        <i x="5" s="1"/>
        <i x="0" s="1"/>
        <i x="1" s="1"/>
        <i x="7"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Loyality_card11" sourceName="Loyality card ">
  <pivotTables>
    <pivotTable tabId="14" name="PivotTable2"/>
  </pivotTables>
  <data>
    <tabular pivotCacheId="1">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Type11" sourceName="Type">
  <pivotTables>
    <pivotTable tabId="14" name="PivotTable2"/>
  </pivotTables>
  <data>
    <tabular pivotCacheId="1">
      <items count="4">
        <i x="0" s="1"/>
        <i x="2" s="1"/>
        <i x="3"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Country11" sourceName="Country">
  <pivotTables>
    <pivotTable tabId="14" name="PivotTable2"/>
  </pivotTables>
  <data>
    <tabular pivotCacheId="1">
      <items count="8">
        <i x="3" s="1"/>
        <i x="6" s="1"/>
        <i x="4" s="1"/>
        <i x="2" s="1"/>
        <i x="5" s="1"/>
        <i x="0" s="1"/>
        <i x="1"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yality card " cache="Slicer_Loyality_card" caption="Loyality card " style="Slicer Style 1" rowHeight="241300"/>
  <slicer name="Type" cache="Slicer_Type" caption="Type" columnCount="2" style="Slicer Style 1" rowHeight="241300"/>
  <slicer name="Country" cache="Slicer_Country" caption="Country" columnCount="7"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Loyality card  1" cache="Slicer_Loyality_card1" caption="Loyality card " style="Slicer Style 1" rowHeight="241300"/>
  <slicer name="Type 1" cache="Slicer_Type1" caption="Type" columnCount="2" style="Slicer Style 1" rowHeight="241300"/>
  <slicer name="Country 1" cache="Slicer_Country1" caption="Country" columnCount="7"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Loyality card  2" cache="Slicer_Loyality_card11" caption="Loyality card " style="Slicer Style 1" rowHeight="241300"/>
  <slicer name="Type 2" cache="Slicer_Type11" caption="Type" columnCount="2" style="Slicer Style 1" rowHeight="241300"/>
  <slicer name="Country 2" cache="Slicer_Country11" caption="Country" columnCount="7" style="Slicer Style 1"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Loyality card  3" cache="Slicer_Loyality_card" caption="Loyality card " style="Slicer Style 1" rowHeight="241300"/>
  <slicer name="Type 3" cache="Slicer_Type" caption="Type" columnCount="2" style="Slicer Style 1" rowHeight="241300"/>
  <slicer name="Country 3" cache="Slicer_Country" caption="Country" columnCount="7" style="Slicer Style 1" rowHeight="241300"/>
</slicers>
</file>

<file path=xl/tables/table1.xml><?xml version="1.0" encoding="utf-8"?>
<table xmlns="http://schemas.openxmlformats.org/spreadsheetml/2006/main" id="1" name="Orders" displayName="Orders" ref="A1:P190" totalsRowShown="0">
  <autoFilter ref="A1:P190"/>
  <tableColumns count="16">
    <tableColumn id="1" name="Order ID "/>
    <tableColumn id="2" name="Order Data" dataDxfId="0"/>
    <tableColumn id="3" name="Customer ID "/>
    <tableColumn id="4" name="Product ID"/>
    <tableColumn id="5" name="Product "/>
    <tableColumn id="6" name="Quantity "/>
    <tableColumn id="7" name="Customer Name"/>
    <tableColumn id="8" name="Email" dataCellStyle="Hyperlink"/>
    <tableColumn id="9" name="Country"/>
    <tableColumn id="10" name="Type"/>
    <tableColumn id="11" name="Size"/>
    <tableColumn id="12" name="unit price"/>
    <tableColumn id="13" name="Sales">
      <calculatedColumnFormula>F:F+11</calculatedColumnFormula>
    </tableColumn>
    <tableColumn id="14" name="Imported ">
      <calculatedColumnFormula>($M:M-5)</calculatedColumnFormula>
    </tableColumn>
    <tableColumn id="15" name="Exported "/>
    <tableColumn id="16" name="Loyality card "/>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a" sourceName="Order Data">
  <pivotTables>
    <pivotTable tabId="6" name="PivotTable2"/>
  </pivotTables>
  <state minimalRefreshVersion="6" lastRefreshVersion="6" pivotCacheId="1" filterType="unknown">
    <bounds startDate="2019-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name="NativeTimeline_Order_Data1" sourceName="Order Data">
  <pivotTables>
    <pivotTable tabId="12" name="PivotTable2"/>
  </pivotTables>
  <state minimalRefreshVersion="6" lastRefreshVersion="6" pivotCacheId="1" filterType="unknown">
    <bounds startDate="2019-01-01T00:00:00" endDate="2026-01-01T00:00:00"/>
  </state>
</timelineCacheDefinition>
</file>

<file path=xl/timelineCaches/timelineCache3.xml><?xml version="1.0" encoding="utf-8"?>
<timelineCacheDefinition xmlns="http://schemas.microsoft.com/office/spreadsheetml/2010/11/main" xmlns:x15="http://schemas.microsoft.com/office/spreadsheetml/2010/11/main" name="NativeTimeline_Order_Data11" sourceName="Order Data">
  <pivotTables>
    <pivotTable tabId="14" name="PivotTable2"/>
  </pivotTables>
  <state minimalRefreshVersion="6" lastRefreshVersion="6" pivotCacheId="1" filterType="unknown">
    <bounds startDate="2019-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a" cache="NativeTimeline_Order_Data" caption="Order Data" level="2" selectionLevel="2" scrollPosition="2020-08-07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 Data 1" cache="NativeTimeline_Order_Data1" caption="Order Data" level="2" selectionLevel="2" scrollPosition="2020-08-07T00:00:00" style="Timeline Style 1"/>
</timelines>
</file>

<file path=xl/timelines/timeline3.xml><?xml version="1.0" encoding="utf-8"?>
<timelines xmlns="http://schemas.microsoft.com/office/spreadsheetml/2010/11/main" xmlns:mc="http://schemas.openxmlformats.org/markup-compatibility/2006" xmlns:x="http://schemas.openxmlformats.org/spreadsheetml/2006/main" mc:Ignorable="x">
  <timeline name="Order Data 2" cache="NativeTimeline_Order_Data11" caption="Order Data" level="2" selectionLevel="2" scrollPosition="2020-08-07T00:00:00" style="Timeline Style 1"/>
</timelines>
</file>

<file path=xl/timelines/timeline4.xml><?xml version="1.0" encoding="utf-8"?>
<timelines xmlns="http://schemas.microsoft.com/office/spreadsheetml/2010/11/main" xmlns:mc="http://schemas.openxmlformats.org/markup-compatibility/2006" xmlns:x="http://schemas.openxmlformats.org/spreadsheetml/2006/main" mc:Ignorable="x">
  <timeline name="Order Data 3" cache="NativeTimeline_Order_Data" caption="Order Data" level="2" selectionLevel="2" scrollPosition="2020-08-07T00:00:00" style="Timeline Style 1"/>
</timelines>
</file>

<file path=xl/worksheets/_rels/sheet1.xml.rels><?xml version="1.0" encoding="UTF-8" standalone="yes"?>
<Relationships xmlns="http://schemas.openxmlformats.org/package/2006/relationships"><Relationship Id="rId117" Type="http://schemas.openxmlformats.org/officeDocument/2006/relationships/hyperlink" Target="mailto:smith56@gmail.com" TargetMode="External"/><Relationship Id="rId21" Type="http://schemas.openxmlformats.org/officeDocument/2006/relationships/hyperlink" Target="mailto:dar56@gmail.com" TargetMode="External"/><Relationship Id="rId42" Type="http://schemas.openxmlformats.org/officeDocument/2006/relationships/hyperlink" Target="mailto:dath56@gmail.com" TargetMode="External"/><Relationship Id="rId63" Type="http://schemas.openxmlformats.org/officeDocument/2006/relationships/hyperlink" Target="mailto:moin56@gmail.com" TargetMode="External"/><Relationship Id="rId84" Type="http://schemas.openxmlformats.org/officeDocument/2006/relationships/hyperlink" Target="mailto:zawar56@gmail.com" TargetMode="External"/><Relationship Id="rId138" Type="http://schemas.openxmlformats.org/officeDocument/2006/relationships/hyperlink" Target="mailto:juan56@gmail.com" TargetMode="External"/><Relationship Id="rId159" Type="http://schemas.openxmlformats.org/officeDocument/2006/relationships/hyperlink" Target="mailto:sarmad34@gmail.com" TargetMode="External"/><Relationship Id="rId170" Type="http://schemas.openxmlformats.org/officeDocument/2006/relationships/hyperlink" Target="mailto:skinder@gmail.com" TargetMode="External"/><Relationship Id="rId191" Type="http://schemas.openxmlformats.org/officeDocument/2006/relationships/hyperlink" Target="mailto:snobr@gmail.com" TargetMode="External"/><Relationship Id="rId107" Type="http://schemas.openxmlformats.org/officeDocument/2006/relationships/hyperlink" Target="mailto:barnes56@gmail.com" TargetMode="External"/><Relationship Id="rId11" Type="http://schemas.openxmlformats.org/officeDocument/2006/relationships/hyperlink" Target="mailto:ahsna@gmail.com" TargetMode="External"/><Relationship Id="rId32" Type="http://schemas.openxmlformats.org/officeDocument/2006/relationships/hyperlink" Target="mailto:minhal56@gmail.com" TargetMode="External"/><Relationship Id="rId53" Type="http://schemas.openxmlformats.org/officeDocument/2006/relationships/hyperlink" Target="mailto:anas56@gmail.com" TargetMode="External"/><Relationship Id="rId74" Type="http://schemas.openxmlformats.org/officeDocument/2006/relationships/hyperlink" Target="mailto:shahbaz56@gmail.com" TargetMode="External"/><Relationship Id="rId128" Type="http://schemas.openxmlformats.org/officeDocument/2006/relationships/hyperlink" Target="mailto:juan56@gmail.com" TargetMode="External"/><Relationship Id="rId149" Type="http://schemas.openxmlformats.org/officeDocument/2006/relationships/hyperlink" Target="mailto:doug56@gmail.com" TargetMode="External"/><Relationship Id="rId5" Type="http://schemas.openxmlformats.org/officeDocument/2006/relationships/hyperlink" Target="mailto:rean8@gmail.com" TargetMode="External"/><Relationship Id="rId95" Type="http://schemas.openxmlformats.org/officeDocument/2006/relationships/hyperlink" Target="mailto:ben56@gmail.com" TargetMode="External"/><Relationship Id="rId160" Type="http://schemas.openxmlformats.org/officeDocument/2006/relationships/hyperlink" Target="mailto:vivi90090@gmail.com" TargetMode="External"/><Relationship Id="rId181" Type="http://schemas.openxmlformats.org/officeDocument/2006/relationships/hyperlink" Target="mailto:zaid@gmail.com" TargetMode="External"/><Relationship Id="rId22" Type="http://schemas.openxmlformats.org/officeDocument/2006/relationships/hyperlink" Target="mailto:shban56@gmail.com" TargetMode="External"/><Relationship Id="rId43" Type="http://schemas.openxmlformats.org/officeDocument/2006/relationships/hyperlink" Target="mailto:stokey56@gmail.com" TargetMode="External"/><Relationship Id="rId64" Type="http://schemas.openxmlformats.org/officeDocument/2006/relationships/hyperlink" Target="mailto:sarmad56@gmail.com" TargetMode="External"/><Relationship Id="rId118" Type="http://schemas.openxmlformats.org/officeDocument/2006/relationships/hyperlink" Target="mailto:helen56@gmail.com" TargetMode="External"/><Relationship Id="rId139" Type="http://schemas.openxmlformats.org/officeDocument/2006/relationships/hyperlink" Target="mailto:doug56@gmail.com" TargetMode="External"/><Relationship Id="rId85" Type="http://schemas.openxmlformats.org/officeDocument/2006/relationships/hyperlink" Target="mailto:zaid56@gmail.com" TargetMode="External"/><Relationship Id="rId150" Type="http://schemas.openxmlformats.org/officeDocument/2006/relationships/hyperlink" Target="mailto:doug56@gmail.com" TargetMode="External"/><Relationship Id="rId171" Type="http://schemas.openxmlformats.org/officeDocument/2006/relationships/hyperlink" Target="mailto:qamar@gmail.com" TargetMode="External"/><Relationship Id="rId192" Type="http://schemas.openxmlformats.org/officeDocument/2006/relationships/table" Target="../tables/table1.xml"/><Relationship Id="rId12" Type="http://schemas.openxmlformats.org/officeDocument/2006/relationships/hyperlink" Target="mailto:ahadm09@gmail.com" TargetMode="External"/><Relationship Id="rId33" Type="http://schemas.openxmlformats.org/officeDocument/2006/relationships/hyperlink" Target="mailto:minha56@gmail.com" TargetMode="External"/><Relationship Id="rId108" Type="http://schemas.openxmlformats.org/officeDocument/2006/relationships/hyperlink" Target="mailto:johnson56@gmail.com" TargetMode="External"/><Relationship Id="rId129" Type="http://schemas.openxmlformats.org/officeDocument/2006/relationships/hyperlink" Target="mailto:doug56@gmail.com" TargetMode="External"/><Relationship Id="rId54" Type="http://schemas.openxmlformats.org/officeDocument/2006/relationships/hyperlink" Target="mailto:ameer56@gmail.com" TargetMode="External"/><Relationship Id="rId75" Type="http://schemas.openxmlformats.org/officeDocument/2006/relationships/hyperlink" Target="mailto:skinder56@gmail.com" TargetMode="External"/><Relationship Id="rId96" Type="http://schemas.openxmlformats.org/officeDocument/2006/relationships/hyperlink" Target="mailto:lone56@gmail.com" TargetMode="External"/><Relationship Id="rId140" Type="http://schemas.openxmlformats.org/officeDocument/2006/relationships/hyperlink" Target="mailto:charlie56@gmail.com" TargetMode="External"/><Relationship Id="rId161" Type="http://schemas.openxmlformats.org/officeDocument/2006/relationships/hyperlink" Target="mailto:ali990@gmail.com" TargetMode="External"/><Relationship Id="rId182" Type="http://schemas.openxmlformats.org/officeDocument/2006/relationships/hyperlink" Target="mailto:danyal@gmail.com" TargetMode="External"/><Relationship Id="rId6" Type="http://schemas.openxmlformats.org/officeDocument/2006/relationships/hyperlink" Target="mailto:fadio3@gmail.com" TargetMode="External"/><Relationship Id="rId23" Type="http://schemas.openxmlformats.org/officeDocument/2006/relationships/hyperlink" Target="mailto:kashif56@gmail.com" TargetMode="External"/><Relationship Id="rId119" Type="http://schemas.openxmlformats.org/officeDocument/2006/relationships/hyperlink" Target="mailto:juan56@gmail.com" TargetMode="External"/><Relationship Id="rId44" Type="http://schemas.openxmlformats.org/officeDocument/2006/relationships/hyperlink" Target="mailto:sthoy56@gmail.com" TargetMode="External"/><Relationship Id="rId65" Type="http://schemas.openxmlformats.org/officeDocument/2006/relationships/hyperlink" Target="mailto:ahsan56@gmail.com" TargetMode="External"/><Relationship Id="rId86" Type="http://schemas.openxmlformats.org/officeDocument/2006/relationships/hyperlink" Target="mailto:danyal56@gmail.com" TargetMode="External"/><Relationship Id="rId130" Type="http://schemas.openxmlformats.org/officeDocument/2006/relationships/hyperlink" Target="mailto:doug56@gmail.com" TargetMode="External"/><Relationship Id="rId151" Type="http://schemas.openxmlformats.org/officeDocument/2006/relationships/hyperlink" Target="mailto:helen56@gmail.com" TargetMode="External"/><Relationship Id="rId172" Type="http://schemas.openxmlformats.org/officeDocument/2006/relationships/hyperlink" Target="mailto:daud@gmail.com" TargetMode="External"/><Relationship Id="rId13" Type="http://schemas.openxmlformats.org/officeDocument/2006/relationships/hyperlink" Target="mailto:helen56@gmail.com" TargetMode="External"/><Relationship Id="rId18" Type="http://schemas.openxmlformats.org/officeDocument/2006/relationships/hyperlink" Target="mailto:hina56@gmail.com" TargetMode="External"/><Relationship Id="rId39" Type="http://schemas.openxmlformats.org/officeDocument/2006/relationships/hyperlink" Target="mailto:ansa56@gmail.com" TargetMode="External"/><Relationship Id="rId109" Type="http://schemas.openxmlformats.org/officeDocument/2006/relationships/hyperlink" Target="mailto:smith56@gmail.com" TargetMode="External"/><Relationship Id="rId34" Type="http://schemas.openxmlformats.org/officeDocument/2006/relationships/hyperlink" Target="mailto:tanveer56@gmail.com" TargetMode="External"/><Relationship Id="rId50" Type="http://schemas.openxmlformats.org/officeDocument/2006/relationships/hyperlink" Target="mailto:atheshma56@gmail.com" TargetMode="External"/><Relationship Id="rId55" Type="http://schemas.openxmlformats.org/officeDocument/2006/relationships/hyperlink" Target="mailto:ali56@gmail.com" TargetMode="External"/><Relationship Id="rId76" Type="http://schemas.openxmlformats.org/officeDocument/2006/relationships/hyperlink" Target="mailto:qamar56@gmail.com" TargetMode="External"/><Relationship Id="rId97" Type="http://schemas.openxmlformats.org/officeDocument/2006/relationships/hyperlink" Target="mailto:robin56@gmail.com" TargetMode="External"/><Relationship Id="rId104" Type="http://schemas.openxmlformats.org/officeDocument/2006/relationships/hyperlink" Target="mailto:johnson56@gmail.com" TargetMode="External"/><Relationship Id="rId120" Type="http://schemas.openxmlformats.org/officeDocument/2006/relationships/hyperlink" Target="mailto:doug56@gmail.com" TargetMode="External"/><Relationship Id="rId125" Type="http://schemas.openxmlformats.org/officeDocument/2006/relationships/hyperlink" Target="mailto:helen56@gmail.com" TargetMode="External"/><Relationship Id="rId141" Type="http://schemas.openxmlformats.org/officeDocument/2006/relationships/hyperlink" Target="mailto:helen56@gmail.com" TargetMode="External"/><Relationship Id="rId146" Type="http://schemas.openxmlformats.org/officeDocument/2006/relationships/hyperlink" Target="mailto:helen56@gmail.com" TargetMode="External"/><Relationship Id="rId167" Type="http://schemas.openxmlformats.org/officeDocument/2006/relationships/hyperlink" Target="mailto:subna@gmail.com" TargetMode="External"/><Relationship Id="rId188" Type="http://schemas.openxmlformats.org/officeDocument/2006/relationships/hyperlink" Target="mailto:thor56@gmail.com" TargetMode="External"/><Relationship Id="rId7" Type="http://schemas.openxmlformats.org/officeDocument/2006/relationships/hyperlink" Target="mailto:rbion@gmail.com" TargetMode="External"/><Relationship Id="rId71" Type="http://schemas.openxmlformats.org/officeDocument/2006/relationships/hyperlink" Target="mailto:shan56@gmail.com" TargetMode="External"/><Relationship Id="rId92" Type="http://schemas.openxmlformats.org/officeDocument/2006/relationships/hyperlink" Target="mailto:thor56@gmail.com" TargetMode="External"/><Relationship Id="rId162" Type="http://schemas.openxmlformats.org/officeDocument/2006/relationships/hyperlink" Target="mailto:kashif@gmail.com" TargetMode="External"/><Relationship Id="rId183" Type="http://schemas.openxmlformats.org/officeDocument/2006/relationships/hyperlink" Target="mailto:dorieee@gmail.com" TargetMode="External"/><Relationship Id="rId2" Type="http://schemas.openxmlformats.org/officeDocument/2006/relationships/hyperlink" Target="mailto:zai12@gmail.com" TargetMode="External"/><Relationship Id="rId29" Type="http://schemas.openxmlformats.org/officeDocument/2006/relationships/hyperlink" Target="mailto:afifa56@gmail.com" TargetMode="External"/><Relationship Id="rId24" Type="http://schemas.openxmlformats.org/officeDocument/2006/relationships/hyperlink" Target="mailto:hassan56@gmail.com" TargetMode="External"/><Relationship Id="rId40" Type="http://schemas.openxmlformats.org/officeDocument/2006/relationships/hyperlink" Target="mailto:arzoo56@gmail.com" TargetMode="External"/><Relationship Id="rId45" Type="http://schemas.openxmlformats.org/officeDocument/2006/relationships/hyperlink" Target="mailto:shot56@gmail.com" TargetMode="External"/><Relationship Id="rId66" Type="http://schemas.openxmlformats.org/officeDocument/2006/relationships/hyperlink" Target="mailto:vivi56@gmail.com" TargetMode="External"/><Relationship Id="rId87" Type="http://schemas.openxmlformats.org/officeDocument/2006/relationships/hyperlink" Target="mailto:dorien56@gmail.com" TargetMode="External"/><Relationship Id="rId110" Type="http://schemas.openxmlformats.org/officeDocument/2006/relationships/hyperlink" Target="mailto:hernandez56@gmail.com" TargetMode="External"/><Relationship Id="rId115" Type="http://schemas.openxmlformats.org/officeDocument/2006/relationships/hyperlink" Target="mailto:hernandez56@gmail.com" TargetMode="External"/><Relationship Id="rId131" Type="http://schemas.openxmlformats.org/officeDocument/2006/relationships/hyperlink" Target="mailto:helen56@gmail.com" TargetMode="External"/><Relationship Id="rId136" Type="http://schemas.openxmlformats.org/officeDocument/2006/relationships/hyperlink" Target="mailto:charlie56@gmail.com" TargetMode="External"/><Relationship Id="rId157" Type="http://schemas.openxmlformats.org/officeDocument/2006/relationships/hyperlink" Target="mailto:sana56@gmail.com" TargetMode="External"/><Relationship Id="rId178" Type="http://schemas.openxmlformats.org/officeDocument/2006/relationships/hyperlink" Target="mailto:zehan@gmail.com" TargetMode="External"/><Relationship Id="rId61" Type="http://schemas.openxmlformats.org/officeDocument/2006/relationships/hyperlink" Target="mailto:zuni56@gmail.com" TargetMode="External"/><Relationship Id="rId82" Type="http://schemas.openxmlformats.org/officeDocument/2006/relationships/hyperlink" Target="mailto:mosa56@gmail.com" TargetMode="External"/><Relationship Id="rId152" Type="http://schemas.openxmlformats.org/officeDocument/2006/relationships/hyperlink" Target="mailto:doug56@gmail.com" TargetMode="External"/><Relationship Id="rId173" Type="http://schemas.openxmlformats.org/officeDocument/2006/relationships/hyperlink" Target="mailto:rehman@gmail.com" TargetMode="External"/><Relationship Id="rId19" Type="http://schemas.openxmlformats.org/officeDocument/2006/relationships/hyperlink" Target="mailto:usman56@gmail.com" TargetMode="External"/><Relationship Id="rId14" Type="http://schemas.openxmlformats.org/officeDocument/2006/relationships/hyperlink" Target="mailto:dora56@gmail.com" TargetMode="External"/><Relationship Id="rId30" Type="http://schemas.openxmlformats.org/officeDocument/2006/relationships/hyperlink" Target="mailto:aeman56@gmail.com" TargetMode="External"/><Relationship Id="rId35" Type="http://schemas.openxmlformats.org/officeDocument/2006/relationships/hyperlink" Target="mailto:khalil56@gmail.com" TargetMode="External"/><Relationship Id="rId56" Type="http://schemas.openxmlformats.org/officeDocument/2006/relationships/hyperlink" Target="mailto:ahsn56@gmail.com" TargetMode="External"/><Relationship Id="rId77" Type="http://schemas.openxmlformats.org/officeDocument/2006/relationships/hyperlink" Target="mailto:daud56@gmail.com" TargetMode="External"/><Relationship Id="rId100" Type="http://schemas.openxmlformats.org/officeDocument/2006/relationships/hyperlink" Target="mailto:rean56@gmail.com" TargetMode="External"/><Relationship Id="rId105" Type="http://schemas.openxmlformats.org/officeDocument/2006/relationships/hyperlink" Target="mailto:hernandez56@gmail.com" TargetMode="External"/><Relationship Id="rId126" Type="http://schemas.openxmlformats.org/officeDocument/2006/relationships/hyperlink" Target="mailto:charlie56@gmail.com" TargetMode="External"/><Relationship Id="rId147" Type="http://schemas.openxmlformats.org/officeDocument/2006/relationships/hyperlink" Target="mailto:doug56@gmail.com" TargetMode="External"/><Relationship Id="rId168" Type="http://schemas.openxmlformats.org/officeDocument/2006/relationships/hyperlink" Target="mailto:danyal009@gmail.com" TargetMode="External"/><Relationship Id="rId8" Type="http://schemas.openxmlformats.org/officeDocument/2006/relationships/hyperlink" Target="mailto:lone@gmail.com" TargetMode="External"/><Relationship Id="rId51" Type="http://schemas.openxmlformats.org/officeDocument/2006/relationships/hyperlink" Target="mailto:ahthsam56@gmail.com" TargetMode="External"/><Relationship Id="rId72" Type="http://schemas.openxmlformats.org/officeDocument/2006/relationships/hyperlink" Target="mailto:subhan56@gmail.com" TargetMode="External"/><Relationship Id="rId93" Type="http://schemas.openxmlformats.org/officeDocument/2006/relationships/hyperlink" Target="mailto:iron56@gmail.com" TargetMode="External"/><Relationship Id="rId98" Type="http://schemas.openxmlformats.org/officeDocument/2006/relationships/hyperlink" Target="mailto:snobr56@gmail.com" TargetMode="External"/><Relationship Id="rId121" Type="http://schemas.openxmlformats.org/officeDocument/2006/relationships/hyperlink" Target="mailto:charlie56@gmail.com" TargetMode="External"/><Relationship Id="rId142" Type="http://schemas.openxmlformats.org/officeDocument/2006/relationships/hyperlink" Target="mailto:doug56@gmail.com" TargetMode="External"/><Relationship Id="rId163" Type="http://schemas.openxmlformats.org/officeDocument/2006/relationships/hyperlink" Target="mailto:zai12@gmail.com" TargetMode="External"/><Relationship Id="rId184" Type="http://schemas.openxmlformats.org/officeDocument/2006/relationships/hyperlink" Target="mailto:dora8@gmail.com" TargetMode="External"/><Relationship Id="rId189" Type="http://schemas.openxmlformats.org/officeDocument/2006/relationships/hyperlink" Target="mailto:iron9@gmail.com" TargetMode="External"/><Relationship Id="rId3" Type="http://schemas.openxmlformats.org/officeDocument/2006/relationships/hyperlink" Target="mailto:rose72@gmail.com" TargetMode="External"/><Relationship Id="rId25" Type="http://schemas.openxmlformats.org/officeDocument/2006/relationships/hyperlink" Target="mailto:arooj56@gmail.com" TargetMode="External"/><Relationship Id="rId46" Type="http://schemas.openxmlformats.org/officeDocument/2006/relationships/hyperlink" Target="mailto:quni56@gmail.com" TargetMode="External"/><Relationship Id="rId67" Type="http://schemas.openxmlformats.org/officeDocument/2006/relationships/hyperlink" Target="mailto:ali56@gmail.com" TargetMode="External"/><Relationship Id="rId116" Type="http://schemas.openxmlformats.org/officeDocument/2006/relationships/hyperlink" Target="mailto:smith56@gmail.com" TargetMode="External"/><Relationship Id="rId137" Type="http://schemas.openxmlformats.org/officeDocument/2006/relationships/hyperlink" Target="mailto:helen56@gmail.com" TargetMode="External"/><Relationship Id="rId158" Type="http://schemas.openxmlformats.org/officeDocument/2006/relationships/hyperlink" Target="mailto:moin32@gmail.com" TargetMode="External"/><Relationship Id="rId20" Type="http://schemas.openxmlformats.org/officeDocument/2006/relationships/hyperlink" Target="mailto:shifiq56@gmail.com" TargetMode="External"/><Relationship Id="rId41" Type="http://schemas.openxmlformats.org/officeDocument/2006/relationships/hyperlink" Target="mailto:wood56@gmail.com" TargetMode="External"/><Relationship Id="rId62" Type="http://schemas.openxmlformats.org/officeDocument/2006/relationships/hyperlink" Target="mailto:zoi56@gmail.com" TargetMode="External"/><Relationship Id="rId83" Type="http://schemas.openxmlformats.org/officeDocument/2006/relationships/hyperlink" Target="mailto:zeshan56@gmail.com" TargetMode="External"/><Relationship Id="rId88" Type="http://schemas.openxmlformats.org/officeDocument/2006/relationships/hyperlink" Target="mailto:sunio56@gmail.com" TargetMode="External"/><Relationship Id="rId111" Type="http://schemas.openxmlformats.org/officeDocument/2006/relationships/hyperlink" Target="mailto:johnson56@gmail.com" TargetMode="External"/><Relationship Id="rId132" Type="http://schemas.openxmlformats.org/officeDocument/2006/relationships/hyperlink" Target="mailto:doug56@gmail.com" TargetMode="External"/><Relationship Id="rId153" Type="http://schemas.openxmlformats.org/officeDocument/2006/relationships/hyperlink" Target="mailto:charlie56@gmail.com" TargetMode="External"/><Relationship Id="rId174" Type="http://schemas.openxmlformats.org/officeDocument/2006/relationships/hyperlink" Target="mailto:najam@gmail.com" TargetMode="External"/><Relationship Id="rId179" Type="http://schemas.openxmlformats.org/officeDocument/2006/relationships/hyperlink" Target="mailto:zai12@gmail.com" TargetMode="External"/><Relationship Id="rId190" Type="http://schemas.openxmlformats.org/officeDocument/2006/relationships/hyperlink" Target="mailto:ben5@gmail.com" TargetMode="External"/><Relationship Id="rId15" Type="http://schemas.openxmlformats.org/officeDocument/2006/relationships/hyperlink" Target="mailto:fhad56@gmail.com" TargetMode="External"/><Relationship Id="rId36" Type="http://schemas.openxmlformats.org/officeDocument/2006/relationships/hyperlink" Target="mailto:momina56@gmail.com" TargetMode="External"/><Relationship Id="rId57" Type="http://schemas.openxmlformats.org/officeDocument/2006/relationships/hyperlink" Target="mailto:zubair56@gmail.com" TargetMode="External"/><Relationship Id="rId106" Type="http://schemas.openxmlformats.org/officeDocument/2006/relationships/hyperlink" Target="mailto:smith56@gmail.com" TargetMode="External"/><Relationship Id="rId127" Type="http://schemas.openxmlformats.org/officeDocument/2006/relationships/hyperlink" Target="mailto:doug56@gmail.com" TargetMode="External"/><Relationship Id="rId10" Type="http://schemas.openxmlformats.org/officeDocument/2006/relationships/hyperlink" Target="mailto:suniooo@gmail.com" TargetMode="External"/><Relationship Id="rId31" Type="http://schemas.openxmlformats.org/officeDocument/2006/relationships/hyperlink" Target="mailto:amna56@gmail.com" TargetMode="External"/><Relationship Id="rId52" Type="http://schemas.openxmlformats.org/officeDocument/2006/relationships/hyperlink" Target="mailto:artm56@gmail.com" TargetMode="External"/><Relationship Id="rId73" Type="http://schemas.openxmlformats.org/officeDocument/2006/relationships/hyperlink" Target="mailto:danyal56@gmail.com" TargetMode="External"/><Relationship Id="rId78" Type="http://schemas.openxmlformats.org/officeDocument/2006/relationships/hyperlink" Target="mailto:rehman56@gmail.com" TargetMode="External"/><Relationship Id="rId94" Type="http://schemas.openxmlformats.org/officeDocument/2006/relationships/hyperlink" Target="mailto:ten56@gmail.com" TargetMode="External"/><Relationship Id="rId99" Type="http://schemas.openxmlformats.org/officeDocument/2006/relationships/hyperlink" Target="mailto:fadi56@gmail.com" TargetMode="External"/><Relationship Id="rId101" Type="http://schemas.openxmlformats.org/officeDocument/2006/relationships/hyperlink" Target="mailto:lily56@gmail.com" TargetMode="External"/><Relationship Id="rId122" Type="http://schemas.openxmlformats.org/officeDocument/2006/relationships/hyperlink" Target="mailto:helen56@gmail.com" TargetMode="External"/><Relationship Id="rId143" Type="http://schemas.openxmlformats.org/officeDocument/2006/relationships/hyperlink" Target="mailto:juan56@gmail.com" TargetMode="External"/><Relationship Id="rId148" Type="http://schemas.openxmlformats.org/officeDocument/2006/relationships/hyperlink" Target="mailto:juan56@gmail.com" TargetMode="External"/><Relationship Id="rId164" Type="http://schemas.openxmlformats.org/officeDocument/2006/relationships/hyperlink" Target="mailto:trayyab@gmail.com" TargetMode="External"/><Relationship Id="rId169" Type="http://schemas.openxmlformats.org/officeDocument/2006/relationships/hyperlink" Target="mailto:shahbaz@gmail.com" TargetMode="External"/><Relationship Id="rId185" Type="http://schemas.openxmlformats.org/officeDocument/2006/relationships/hyperlink" Target="mailto:gian67@gmail.com" TargetMode="External"/><Relationship Id="rId4" Type="http://schemas.openxmlformats.org/officeDocument/2006/relationships/hyperlink" Target="mailto:lily23@gmail.com" TargetMode="External"/><Relationship Id="rId9" Type="http://schemas.openxmlformats.org/officeDocument/2006/relationships/hyperlink" Target="mailto:ten78@gmail.com" TargetMode="External"/><Relationship Id="rId180" Type="http://schemas.openxmlformats.org/officeDocument/2006/relationships/hyperlink" Target="mailto:zawar@gmail.com" TargetMode="External"/><Relationship Id="rId26" Type="http://schemas.openxmlformats.org/officeDocument/2006/relationships/hyperlink" Target="mailto:anaya56@gmail.com" TargetMode="External"/><Relationship Id="rId47" Type="http://schemas.openxmlformats.org/officeDocument/2006/relationships/hyperlink" Target="mailto:qut56@gmail.com" TargetMode="External"/><Relationship Id="rId68" Type="http://schemas.openxmlformats.org/officeDocument/2006/relationships/hyperlink" Target="mailto:kashif56@gmail.com" TargetMode="External"/><Relationship Id="rId89" Type="http://schemas.openxmlformats.org/officeDocument/2006/relationships/hyperlink" Target="mailto:gian56@gmail.com" TargetMode="External"/><Relationship Id="rId112" Type="http://schemas.openxmlformats.org/officeDocument/2006/relationships/hyperlink" Target="mailto:barnes56@gmail.com" TargetMode="External"/><Relationship Id="rId133" Type="http://schemas.openxmlformats.org/officeDocument/2006/relationships/hyperlink" Target="mailto:charlie56@gmail.com" TargetMode="External"/><Relationship Id="rId154" Type="http://schemas.openxmlformats.org/officeDocument/2006/relationships/hyperlink" Target="mailto:doug56@gmail.com" TargetMode="External"/><Relationship Id="rId175" Type="http://schemas.openxmlformats.org/officeDocument/2006/relationships/hyperlink" Target="mailto:ahad67@gmail.com" TargetMode="External"/><Relationship Id="rId16" Type="http://schemas.openxmlformats.org/officeDocument/2006/relationships/hyperlink" Target="mailto:nouman56@gmail.com" TargetMode="External"/><Relationship Id="rId37" Type="http://schemas.openxmlformats.org/officeDocument/2006/relationships/hyperlink" Target="mailto:iqra56@gmail.com" TargetMode="External"/><Relationship Id="rId58" Type="http://schemas.openxmlformats.org/officeDocument/2006/relationships/hyperlink" Target="mailto:zht56@gmail.com" TargetMode="External"/><Relationship Id="rId79" Type="http://schemas.openxmlformats.org/officeDocument/2006/relationships/hyperlink" Target="mailto:najam56@gmail.com" TargetMode="External"/><Relationship Id="rId102" Type="http://schemas.openxmlformats.org/officeDocument/2006/relationships/hyperlink" Target="mailto:rose56@gmail.com" TargetMode="External"/><Relationship Id="rId123" Type="http://schemas.openxmlformats.org/officeDocument/2006/relationships/hyperlink" Target="mailto:doug56@gmail.com" TargetMode="External"/><Relationship Id="rId144" Type="http://schemas.openxmlformats.org/officeDocument/2006/relationships/hyperlink" Target="mailto:helen56@gmail.com" TargetMode="External"/><Relationship Id="rId90" Type="http://schemas.openxmlformats.org/officeDocument/2006/relationships/hyperlink" Target="mailto:nobita56@gmail.com" TargetMode="External"/><Relationship Id="rId165" Type="http://schemas.openxmlformats.org/officeDocument/2006/relationships/hyperlink" Target="mailto:roman@gmail.com" TargetMode="External"/><Relationship Id="rId186" Type="http://schemas.openxmlformats.org/officeDocument/2006/relationships/hyperlink" Target="mailto:nobbiii@gmail.com" TargetMode="External"/><Relationship Id="rId27" Type="http://schemas.openxmlformats.org/officeDocument/2006/relationships/hyperlink" Target="mailto:anzeela56@gmail.com" TargetMode="External"/><Relationship Id="rId48" Type="http://schemas.openxmlformats.org/officeDocument/2006/relationships/hyperlink" Target="mailto:razi56@gmail.com" TargetMode="External"/><Relationship Id="rId69" Type="http://schemas.openxmlformats.org/officeDocument/2006/relationships/hyperlink" Target="mailto:tayyab56@gmail.com" TargetMode="External"/><Relationship Id="rId113" Type="http://schemas.openxmlformats.org/officeDocument/2006/relationships/hyperlink" Target="mailto:johnson56@gmail.com" TargetMode="External"/><Relationship Id="rId134" Type="http://schemas.openxmlformats.org/officeDocument/2006/relationships/hyperlink" Target="mailto:doug56@gmail.com" TargetMode="External"/><Relationship Id="rId80" Type="http://schemas.openxmlformats.org/officeDocument/2006/relationships/hyperlink" Target="mailto:ahad56@gmail.com" TargetMode="External"/><Relationship Id="rId155" Type="http://schemas.openxmlformats.org/officeDocument/2006/relationships/hyperlink" Target="mailto:juan56@gmail.com" TargetMode="External"/><Relationship Id="rId176" Type="http://schemas.openxmlformats.org/officeDocument/2006/relationships/hyperlink" Target="mailto:arham@gmail.com" TargetMode="External"/><Relationship Id="rId17" Type="http://schemas.openxmlformats.org/officeDocument/2006/relationships/hyperlink" Target="mailto:zaniab56@gmail.com" TargetMode="External"/><Relationship Id="rId38" Type="http://schemas.openxmlformats.org/officeDocument/2006/relationships/hyperlink" Target="mailto:anas56@gmail.com" TargetMode="External"/><Relationship Id="rId59" Type="http://schemas.openxmlformats.org/officeDocument/2006/relationships/hyperlink" Target="mailto:zahr56@gmail.com" TargetMode="External"/><Relationship Id="rId103" Type="http://schemas.openxmlformats.org/officeDocument/2006/relationships/hyperlink" Target="mailto:zai56@gmail.com" TargetMode="External"/><Relationship Id="rId124" Type="http://schemas.openxmlformats.org/officeDocument/2006/relationships/hyperlink" Target="mailto:juan56@gmail.com" TargetMode="External"/><Relationship Id="rId70" Type="http://schemas.openxmlformats.org/officeDocument/2006/relationships/hyperlink" Target="mailto:roman56@gmail.com" TargetMode="External"/><Relationship Id="rId91" Type="http://schemas.openxmlformats.org/officeDocument/2006/relationships/hyperlink" Target="mailto:shuzka56@gmail.com" TargetMode="External"/><Relationship Id="rId145" Type="http://schemas.openxmlformats.org/officeDocument/2006/relationships/hyperlink" Target="mailto:charlie56@gmail.com" TargetMode="External"/><Relationship Id="rId166" Type="http://schemas.openxmlformats.org/officeDocument/2006/relationships/hyperlink" Target="mailto:shan00@gmail.com" TargetMode="External"/><Relationship Id="rId187" Type="http://schemas.openxmlformats.org/officeDocument/2006/relationships/hyperlink" Target="mailto:shuziii@gmail.com" TargetMode="External"/><Relationship Id="rId1" Type="http://schemas.openxmlformats.org/officeDocument/2006/relationships/hyperlink" Target="mailto:zai12@gmail.com" TargetMode="External"/><Relationship Id="rId28" Type="http://schemas.openxmlformats.org/officeDocument/2006/relationships/hyperlink" Target="mailto:aliza56@gmail.com" TargetMode="External"/><Relationship Id="rId49" Type="http://schemas.openxmlformats.org/officeDocument/2006/relationships/hyperlink" Target="mailto:rehman56@gmail.com" TargetMode="External"/><Relationship Id="rId114" Type="http://schemas.openxmlformats.org/officeDocument/2006/relationships/hyperlink" Target="mailto:smith56@gmail.com" TargetMode="External"/><Relationship Id="rId60" Type="http://schemas.openxmlformats.org/officeDocument/2006/relationships/hyperlink" Target="mailto:zahid56@gmail.com" TargetMode="External"/><Relationship Id="rId81" Type="http://schemas.openxmlformats.org/officeDocument/2006/relationships/hyperlink" Target="mailto:arham56@gmail.com" TargetMode="External"/><Relationship Id="rId135" Type="http://schemas.openxmlformats.org/officeDocument/2006/relationships/hyperlink" Target="mailto:juan56@gmail.com" TargetMode="External"/><Relationship Id="rId156" Type="http://schemas.openxmlformats.org/officeDocument/2006/relationships/hyperlink" Target="mailto:amna56@gmail.com" TargetMode="External"/><Relationship Id="rId177" Type="http://schemas.openxmlformats.org/officeDocument/2006/relationships/hyperlink" Target="mailto:mosa@gmail.co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sunio56@gmail.com" TargetMode="External"/><Relationship Id="rId21" Type="http://schemas.openxmlformats.org/officeDocument/2006/relationships/hyperlink" Target="mailto:zaid@gmail.com" TargetMode="External"/><Relationship Id="rId42" Type="http://schemas.openxmlformats.org/officeDocument/2006/relationships/hyperlink" Target="mailto:vivi90090@gmail.com" TargetMode="External"/><Relationship Id="rId63" Type="http://schemas.openxmlformats.org/officeDocument/2006/relationships/hyperlink" Target="mailto:helen56@gmail.com" TargetMode="External"/><Relationship Id="rId84" Type="http://schemas.openxmlformats.org/officeDocument/2006/relationships/hyperlink" Target="mailto:charlie56@gmail.com" TargetMode="External"/><Relationship Id="rId138" Type="http://schemas.openxmlformats.org/officeDocument/2006/relationships/hyperlink" Target="mailto:kashif56@gmail.com" TargetMode="External"/><Relationship Id="rId159" Type="http://schemas.openxmlformats.org/officeDocument/2006/relationships/hyperlink" Target="mailto:qut56@gmail.com" TargetMode="External"/><Relationship Id="rId170" Type="http://schemas.openxmlformats.org/officeDocument/2006/relationships/hyperlink" Target="mailto:momina56@gmail.com" TargetMode="External"/><Relationship Id="rId191" Type="http://schemas.openxmlformats.org/officeDocument/2006/relationships/hyperlink" Target="mailto:fhad56@gmail.com" TargetMode="External"/><Relationship Id="rId107" Type="http://schemas.openxmlformats.org/officeDocument/2006/relationships/hyperlink" Target="mailto:snobr56@gmail.com" TargetMode="External"/><Relationship Id="rId11" Type="http://schemas.openxmlformats.org/officeDocument/2006/relationships/hyperlink" Target="mailto:ten78@gmail.com" TargetMode="External"/><Relationship Id="rId32" Type="http://schemas.openxmlformats.org/officeDocument/2006/relationships/hyperlink" Target="mailto:skinder@gmail.com" TargetMode="External"/><Relationship Id="rId53" Type="http://schemas.openxmlformats.org/officeDocument/2006/relationships/hyperlink" Target="mailto:helen56@gmail.com" TargetMode="External"/><Relationship Id="rId74" Type="http://schemas.openxmlformats.org/officeDocument/2006/relationships/hyperlink" Target="mailto:doug56@gmail.com" TargetMode="External"/><Relationship Id="rId128" Type="http://schemas.openxmlformats.org/officeDocument/2006/relationships/hyperlink" Target="mailto:rehman56@gmail.com" TargetMode="External"/><Relationship Id="rId149" Type="http://schemas.openxmlformats.org/officeDocument/2006/relationships/hyperlink" Target="mailto:zubair56@gmail.com" TargetMode="External"/><Relationship Id="rId5" Type="http://schemas.openxmlformats.org/officeDocument/2006/relationships/hyperlink" Target="mailto:rean8@gmail.com" TargetMode="External"/><Relationship Id="rId95" Type="http://schemas.openxmlformats.org/officeDocument/2006/relationships/hyperlink" Target="mailto:hernandez56@gmail.com" TargetMode="External"/><Relationship Id="rId160" Type="http://schemas.openxmlformats.org/officeDocument/2006/relationships/hyperlink" Target="mailto:quni56@gmail.com" TargetMode="External"/><Relationship Id="rId181" Type="http://schemas.openxmlformats.org/officeDocument/2006/relationships/hyperlink" Target="mailto:arooj56@gmail.com" TargetMode="External"/><Relationship Id="rId22" Type="http://schemas.openxmlformats.org/officeDocument/2006/relationships/hyperlink" Target="mailto:zawar@gmail.com" TargetMode="External"/><Relationship Id="rId43" Type="http://schemas.openxmlformats.org/officeDocument/2006/relationships/hyperlink" Target="mailto:ahsna@gmail.com" TargetMode="External"/><Relationship Id="rId64" Type="http://schemas.openxmlformats.org/officeDocument/2006/relationships/hyperlink" Target="mailto:charlie56@gmail.com" TargetMode="External"/><Relationship Id="rId118" Type="http://schemas.openxmlformats.org/officeDocument/2006/relationships/hyperlink" Target="mailto:dora56@gmail.com" TargetMode="External"/><Relationship Id="rId139" Type="http://schemas.openxmlformats.org/officeDocument/2006/relationships/hyperlink" Target="mailto:ali56@gmail.com" TargetMode="External"/><Relationship Id="rId85" Type="http://schemas.openxmlformats.org/officeDocument/2006/relationships/hyperlink" Target="mailto:doug56@gmail.com" TargetMode="External"/><Relationship Id="rId150" Type="http://schemas.openxmlformats.org/officeDocument/2006/relationships/hyperlink" Target="mailto:ahsn56@gmail.com" TargetMode="External"/><Relationship Id="rId171" Type="http://schemas.openxmlformats.org/officeDocument/2006/relationships/hyperlink" Target="mailto:khalil56@gmail.com" TargetMode="External"/><Relationship Id="rId12" Type="http://schemas.openxmlformats.org/officeDocument/2006/relationships/hyperlink" Target="mailto:iron9@gmail.com" TargetMode="External"/><Relationship Id="rId33" Type="http://schemas.openxmlformats.org/officeDocument/2006/relationships/hyperlink" Target="mailto:shahbaz@gmail.com" TargetMode="External"/><Relationship Id="rId108" Type="http://schemas.openxmlformats.org/officeDocument/2006/relationships/hyperlink" Target="mailto:robin56@gmail.com" TargetMode="External"/><Relationship Id="rId129" Type="http://schemas.openxmlformats.org/officeDocument/2006/relationships/hyperlink" Target="mailto:daud56@gmail.com" TargetMode="External"/><Relationship Id="rId54" Type="http://schemas.openxmlformats.org/officeDocument/2006/relationships/hyperlink" Target="mailto:doug56@gmail.com" TargetMode="External"/><Relationship Id="rId75" Type="http://schemas.openxmlformats.org/officeDocument/2006/relationships/hyperlink" Target="mailto:doug56@gmail.com" TargetMode="External"/><Relationship Id="rId96" Type="http://schemas.openxmlformats.org/officeDocument/2006/relationships/hyperlink" Target="mailto:smith56@gmail.com" TargetMode="External"/><Relationship Id="rId140" Type="http://schemas.openxmlformats.org/officeDocument/2006/relationships/hyperlink" Target="mailto:vivi56@gmail.com" TargetMode="External"/><Relationship Id="rId161" Type="http://schemas.openxmlformats.org/officeDocument/2006/relationships/hyperlink" Target="mailto:shot56@gmail.com" TargetMode="External"/><Relationship Id="rId182" Type="http://schemas.openxmlformats.org/officeDocument/2006/relationships/hyperlink" Target="mailto:hassan56@gmail.com" TargetMode="External"/><Relationship Id="rId6" Type="http://schemas.openxmlformats.org/officeDocument/2006/relationships/hyperlink" Target="mailto:fadio3@gmail.com" TargetMode="External"/><Relationship Id="rId23" Type="http://schemas.openxmlformats.org/officeDocument/2006/relationships/hyperlink" Target="mailto:zai12@gmail.com" TargetMode="External"/><Relationship Id="rId119" Type="http://schemas.openxmlformats.org/officeDocument/2006/relationships/hyperlink" Target="mailto:dorien56@gmail.com" TargetMode="External"/><Relationship Id="rId44" Type="http://schemas.openxmlformats.org/officeDocument/2006/relationships/hyperlink" Target="mailto:ahadm09@gmail.com" TargetMode="External"/><Relationship Id="rId65" Type="http://schemas.openxmlformats.org/officeDocument/2006/relationships/hyperlink" Target="mailto:doug56@gmail.com" TargetMode="External"/><Relationship Id="rId86" Type="http://schemas.openxmlformats.org/officeDocument/2006/relationships/hyperlink" Target="mailto:juan56@gmail.com" TargetMode="External"/><Relationship Id="rId130" Type="http://schemas.openxmlformats.org/officeDocument/2006/relationships/hyperlink" Target="mailto:qamar56@gmail.com" TargetMode="External"/><Relationship Id="rId151" Type="http://schemas.openxmlformats.org/officeDocument/2006/relationships/hyperlink" Target="mailto:ali56@gmail.com" TargetMode="External"/><Relationship Id="rId172" Type="http://schemas.openxmlformats.org/officeDocument/2006/relationships/hyperlink" Target="mailto:tanveer56@gmail.com" TargetMode="External"/><Relationship Id="rId13" Type="http://schemas.openxmlformats.org/officeDocument/2006/relationships/hyperlink" Target="mailto:thor56@gmail.com" TargetMode="External"/><Relationship Id="rId18" Type="http://schemas.openxmlformats.org/officeDocument/2006/relationships/hyperlink" Target="mailto:dora8@gmail.com" TargetMode="External"/><Relationship Id="rId39" Type="http://schemas.openxmlformats.org/officeDocument/2006/relationships/hyperlink" Target="mailto:zai12@gmail.com" TargetMode="External"/><Relationship Id="rId109" Type="http://schemas.openxmlformats.org/officeDocument/2006/relationships/hyperlink" Target="mailto:lone56@gmail.com" TargetMode="External"/><Relationship Id="rId34" Type="http://schemas.openxmlformats.org/officeDocument/2006/relationships/hyperlink" Target="mailto:danyal009@gmail.com" TargetMode="External"/><Relationship Id="rId50" Type="http://schemas.openxmlformats.org/officeDocument/2006/relationships/hyperlink" Target="mailto:doug56@gmail.com" TargetMode="External"/><Relationship Id="rId55" Type="http://schemas.openxmlformats.org/officeDocument/2006/relationships/hyperlink" Target="mailto:doug56@gmail.com" TargetMode="External"/><Relationship Id="rId76" Type="http://schemas.openxmlformats.org/officeDocument/2006/relationships/hyperlink" Target="mailto:juan56@gmail.com" TargetMode="External"/><Relationship Id="rId97" Type="http://schemas.openxmlformats.org/officeDocument/2006/relationships/hyperlink" Target="mailto:johnson56@gmail.com" TargetMode="External"/><Relationship Id="rId104" Type="http://schemas.openxmlformats.org/officeDocument/2006/relationships/hyperlink" Target="mailto:lily56@gmail.com" TargetMode="External"/><Relationship Id="rId120" Type="http://schemas.openxmlformats.org/officeDocument/2006/relationships/hyperlink" Target="mailto:danyal56@gmail.com" TargetMode="External"/><Relationship Id="rId125" Type="http://schemas.openxmlformats.org/officeDocument/2006/relationships/hyperlink" Target="mailto:arham56@gmail.com" TargetMode="External"/><Relationship Id="rId141" Type="http://schemas.openxmlformats.org/officeDocument/2006/relationships/hyperlink" Target="mailto:ahsan56@gmail.com" TargetMode="External"/><Relationship Id="rId146" Type="http://schemas.openxmlformats.org/officeDocument/2006/relationships/hyperlink" Target="mailto:zahid56@gmail.com" TargetMode="External"/><Relationship Id="rId167" Type="http://schemas.openxmlformats.org/officeDocument/2006/relationships/hyperlink" Target="mailto:ansa56@gmail.com" TargetMode="External"/><Relationship Id="rId188" Type="http://schemas.openxmlformats.org/officeDocument/2006/relationships/hyperlink" Target="mailto:hina56@gmail.com" TargetMode="External"/><Relationship Id="rId7" Type="http://schemas.openxmlformats.org/officeDocument/2006/relationships/hyperlink" Target="mailto:snobr@gmail.com" TargetMode="External"/><Relationship Id="rId71" Type="http://schemas.openxmlformats.org/officeDocument/2006/relationships/hyperlink" Target="mailto:charlie56@gmail.com" TargetMode="External"/><Relationship Id="rId92" Type="http://schemas.openxmlformats.org/officeDocument/2006/relationships/hyperlink" Target="mailto:johnson56@gmail.com" TargetMode="External"/><Relationship Id="rId162" Type="http://schemas.openxmlformats.org/officeDocument/2006/relationships/hyperlink" Target="mailto:sthoy56@gmail.com" TargetMode="External"/><Relationship Id="rId183" Type="http://schemas.openxmlformats.org/officeDocument/2006/relationships/hyperlink" Target="mailto:kashif56@gmail.com" TargetMode="External"/><Relationship Id="rId2" Type="http://schemas.openxmlformats.org/officeDocument/2006/relationships/hyperlink" Target="mailto:zai12@gmail.com" TargetMode="External"/><Relationship Id="rId29" Type="http://schemas.openxmlformats.org/officeDocument/2006/relationships/hyperlink" Target="mailto:rehman@gmail.com" TargetMode="External"/><Relationship Id="rId24" Type="http://schemas.openxmlformats.org/officeDocument/2006/relationships/hyperlink" Target="mailto:zehan@gmail.com" TargetMode="External"/><Relationship Id="rId40" Type="http://schemas.openxmlformats.org/officeDocument/2006/relationships/hyperlink" Target="mailto:kashif@gmail.com" TargetMode="External"/><Relationship Id="rId45" Type="http://schemas.openxmlformats.org/officeDocument/2006/relationships/hyperlink" Target="mailto:sarmad34@gmail.com" TargetMode="External"/><Relationship Id="rId66" Type="http://schemas.openxmlformats.org/officeDocument/2006/relationships/hyperlink" Target="mailto:juan56@gmail.com" TargetMode="External"/><Relationship Id="rId87" Type="http://schemas.openxmlformats.org/officeDocument/2006/relationships/hyperlink" Target="mailto:helen56@gmail.com" TargetMode="External"/><Relationship Id="rId110" Type="http://schemas.openxmlformats.org/officeDocument/2006/relationships/hyperlink" Target="mailto:ben56@gmail.com" TargetMode="External"/><Relationship Id="rId115" Type="http://schemas.openxmlformats.org/officeDocument/2006/relationships/hyperlink" Target="mailto:nobita56@gmail.com" TargetMode="External"/><Relationship Id="rId131" Type="http://schemas.openxmlformats.org/officeDocument/2006/relationships/hyperlink" Target="mailto:skinder56@gmail.com" TargetMode="External"/><Relationship Id="rId136" Type="http://schemas.openxmlformats.org/officeDocument/2006/relationships/hyperlink" Target="mailto:roman56@gmail.com" TargetMode="External"/><Relationship Id="rId157" Type="http://schemas.openxmlformats.org/officeDocument/2006/relationships/hyperlink" Target="mailto:rehman56@gmail.com" TargetMode="External"/><Relationship Id="rId178" Type="http://schemas.openxmlformats.org/officeDocument/2006/relationships/hyperlink" Target="mailto:aliza56@gmail.com" TargetMode="External"/><Relationship Id="rId61" Type="http://schemas.openxmlformats.org/officeDocument/2006/relationships/hyperlink" Target="mailto:juan56@gmail.com" TargetMode="External"/><Relationship Id="rId82" Type="http://schemas.openxmlformats.org/officeDocument/2006/relationships/hyperlink" Target="mailto:doug56@gmail.com" TargetMode="External"/><Relationship Id="rId152" Type="http://schemas.openxmlformats.org/officeDocument/2006/relationships/hyperlink" Target="mailto:ameer56@gmail.com" TargetMode="External"/><Relationship Id="rId173" Type="http://schemas.openxmlformats.org/officeDocument/2006/relationships/hyperlink" Target="mailto:minha56@gmail.com" TargetMode="External"/><Relationship Id="rId19" Type="http://schemas.openxmlformats.org/officeDocument/2006/relationships/hyperlink" Target="mailto:dorieee@gmail.com" TargetMode="External"/><Relationship Id="rId14" Type="http://schemas.openxmlformats.org/officeDocument/2006/relationships/hyperlink" Target="mailto:shuziii@gmail.com" TargetMode="External"/><Relationship Id="rId30" Type="http://schemas.openxmlformats.org/officeDocument/2006/relationships/hyperlink" Target="mailto:daud@gmail.com" TargetMode="External"/><Relationship Id="rId35" Type="http://schemas.openxmlformats.org/officeDocument/2006/relationships/hyperlink" Target="mailto:subna@gmail.com" TargetMode="External"/><Relationship Id="rId56" Type="http://schemas.openxmlformats.org/officeDocument/2006/relationships/hyperlink" Target="mailto:juan56@gmail.com" TargetMode="External"/><Relationship Id="rId77" Type="http://schemas.openxmlformats.org/officeDocument/2006/relationships/hyperlink" Target="mailto:doug56@gmail.com" TargetMode="External"/><Relationship Id="rId100" Type="http://schemas.openxmlformats.org/officeDocument/2006/relationships/hyperlink" Target="mailto:hernandez56@gmail.com" TargetMode="External"/><Relationship Id="rId105" Type="http://schemas.openxmlformats.org/officeDocument/2006/relationships/hyperlink" Target="mailto:rean56@gmail.com" TargetMode="External"/><Relationship Id="rId126" Type="http://schemas.openxmlformats.org/officeDocument/2006/relationships/hyperlink" Target="mailto:ahad56@gmail.com" TargetMode="External"/><Relationship Id="rId147" Type="http://schemas.openxmlformats.org/officeDocument/2006/relationships/hyperlink" Target="mailto:zahr56@gmail.com" TargetMode="External"/><Relationship Id="rId168" Type="http://schemas.openxmlformats.org/officeDocument/2006/relationships/hyperlink" Target="mailto:anas56@gmail.com" TargetMode="External"/><Relationship Id="rId8" Type="http://schemas.openxmlformats.org/officeDocument/2006/relationships/hyperlink" Target="mailto:rbion@gmail.com" TargetMode="External"/><Relationship Id="rId51" Type="http://schemas.openxmlformats.org/officeDocument/2006/relationships/hyperlink" Target="mailto:charlie56@gmail.com" TargetMode="External"/><Relationship Id="rId72" Type="http://schemas.openxmlformats.org/officeDocument/2006/relationships/hyperlink" Target="mailto:doug56@gmail.com" TargetMode="External"/><Relationship Id="rId93" Type="http://schemas.openxmlformats.org/officeDocument/2006/relationships/hyperlink" Target="mailto:barnes56@gmail.com" TargetMode="External"/><Relationship Id="rId98" Type="http://schemas.openxmlformats.org/officeDocument/2006/relationships/hyperlink" Target="mailto:barnes56@gmail.com" TargetMode="External"/><Relationship Id="rId121" Type="http://schemas.openxmlformats.org/officeDocument/2006/relationships/hyperlink" Target="mailto:zaid56@gmail.com" TargetMode="External"/><Relationship Id="rId142" Type="http://schemas.openxmlformats.org/officeDocument/2006/relationships/hyperlink" Target="mailto:sarmad56@gmail.com" TargetMode="External"/><Relationship Id="rId163" Type="http://schemas.openxmlformats.org/officeDocument/2006/relationships/hyperlink" Target="mailto:stokey56@gmail.com" TargetMode="External"/><Relationship Id="rId184" Type="http://schemas.openxmlformats.org/officeDocument/2006/relationships/hyperlink" Target="mailto:shban56@gmail.com" TargetMode="External"/><Relationship Id="rId189" Type="http://schemas.openxmlformats.org/officeDocument/2006/relationships/hyperlink" Target="mailto:zaniab56@gmail.com" TargetMode="External"/><Relationship Id="rId3" Type="http://schemas.openxmlformats.org/officeDocument/2006/relationships/hyperlink" Target="mailto:rose72@gmail.com" TargetMode="External"/><Relationship Id="rId25" Type="http://schemas.openxmlformats.org/officeDocument/2006/relationships/hyperlink" Target="mailto:mosa@gmail.com" TargetMode="External"/><Relationship Id="rId46" Type="http://schemas.openxmlformats.org/officeDocument/2006/relationships/hyperlink" Target="mailto:moin32@gmail.com" TargetMode="External"/><Relationship Id="rId67" Type="http://schemas.openxmlformats.org/officeDocument/2006/relationships/hyperlink" Target="mailto:helen56@gmail.com" TargetMode="External"/><Relationship Id="rId116" Type="http://schemas.openxmlformats.org/officeDocument/2006/relationships/hyperlink" Target="mailto:gian56@gmail.com" TargetMode="External"/><Relationship Id="rId137" Type="http://schemas.openxmlformats.org/officeDocument/2006/relationships/hyperlink" Target="mailto:tayyab56@gmail.com" TargetMode="External"/><Relationship Id="rId158" Type="http://schemas.openxmlformats.org/officeDocument/2006/relationships/hyperlink" Target="mailto:razi56@gmail.com" TargetMode="External"/><Relationship Id="rId20" Type="http://schemas.openxmlformats.org/officeDocument/2006/relationships/hyperlink" Target="mailto:danyal@gmail.com" TargetMode="External"/><Relationship Id="rId41" Type="http://schemas.openxmlformats.org/officeDocument/2006/relationships/hyperlink" Target="mailto:ali990@gmail.com" TargetMode="External"/><Relationship Id="rId62" Type="http://schemas.openxmlformats.org/officeDocument/2006/relationships/hyperlink" Target="mailto:doug56@gmail.com" TargetMode="External"/><Relationship Id="rId83" Type="http://schemas.openxmlformats.org/officeDocument/2006/relationships/hyperlink" Target="mailto:helen56@gmail.com" TargetMode="External"/><Relationship Id="rId88" Type="http://schemas.openxmlformats.org/officeDocument/2006/relationships/hyperlink" Target="mailto:smith56@gmail.com" TargetMode="External"/><Relationship Id="rId111" Type="http://schemas.openxmlformats.org/officeDocument/2006/relationships/hyperlink" Target="mailto:ten56@gmail.com" TargetMode="External"/><Relationship Id="rId132" Type="http://schemas.openxmlformats.org/officeDocument/2006/relationships/hyperlink" Target="mailto:shahbaz56@gmail.com" TargetMode="External"/><Relationship Id="rId153" Type="http://schemas.openxmlformats.org/officeDocument/2006/relationships/hyperlink" Target="mailto:anas56@gmail.com" TargetMode="External"/><Relationship Id="rId174" Type="http://schemas.openxmlformats.org/officeDocument/2006/relationships/hyperlink" Target="mailto:minhal56@gmail.com" TargetMode="External"/><Relationship Id="rId179" Type="http://schemas.openxmlformats.org/officeDocument/2006/relationships/hyperlink" Target="mailto:anzeela56@gmail.com" TargetMode="External"/><Relationship Id="rId190" Type="http://schemas.openxmlformats.org/officeDocument/2006/relationships/hyperlink" Target="mailto:nouman56@gmail.com" TargetMode="External"/><Relationship Id="rId15" Type="http://schemas.openxmlformats.org/officeDocument/2006/relationships/hyperlink" Target="mailto:nobbiii@gmail.com" TargetMode="External"/><Relationship Id="rId36" Type="http://schemas.openxmlformats.org/officeDocument/2006/relationships/hyperlink" Target="mailto:shan00@gmail.com" TargetMode="External"/><Relationship Id="rId57" Type="http://schemas.openxmlformats.org/officeDocument/2006/relationships/hyperlink" Target="mailto:doug56@gmail.com" TargetMode="External"/><Relationship Id="rId106" Type="http://schemas.openxmlformats.org/officeDocument/2006/relationships/hyperlink" Target="mailto:fadi56@gmail.com" TargetMode="External"/><Relationship Id="rId127" Type="http://schemas.openxmlformats.org/officeDocument/2006/relationships/hyperlink" Target="mailto:najam56@gmail.com" TargetMode="External"/><Relationship Id="rId10" Type="http://schemas.openxmlformats.org/officeDocument/2006/relationships/hyperlink" Target="mailto:ben5@gmail.com" TargetMode="External"/><Relationship Id="rId31" Type="http://schemas.openxmlformats.org/officeDocument/2006/relationships/hyperlink" Target="mailto:qamar@gmail.com" TargetMode="External"/><Relationship Id="rId52" Type="http://schemas.openxmlformats.org/officeDocument/2006/relationships/hyperlink" Target="mailto:doug56@gmail.com" TargetMode="External"/><Relationship Id="rId73" Type="http://schemas.openxmlformats.org/officeDocument/2006/relationships/hyperlink" Target="mailto:helen56@gmail.com" TargetMode="External"/><Relationship Id="rId78" Type="http://schemas.openxmlformats.org/officeDocument/2006/relationships/hyperlink" Target="mailto:helen56@gmail.com" TargetMode="External"/><Relationship Id="rId94" Type="http://schemas.openxmlformats.org/officeDocument/2006/relationships/hyperlink" Target="mailto:johnson56@gmail.com" TargetMode="External"/><Relationship Id="rId99" Type="http://schemas.openxmlformats.org/officeDocument/2006/relationships/hyperlink" Target="mailto:smith56@gmail.com" TargetMode="External"/><Relationship Id="rId101" Type="http://schemas.openxmlformats.org/officeDocument/2006/relationships/hyperlink" Target="mailto:johnson56@gmail.com" TargetMode="External"/><Relationship Id="rId122" Type="http://schemas.openxmlformats.org/officeDocument/2006/relationships/hyperlink" Target="mailto:zawar56@gmail.com" TargetMode="External"/><Relationship Id="rId143" Type="http://schemas.openxmlformats.org/officeDocument/2006/relationships/hyperlink" Target="mailto:moin56@gmail.com" TargetMode="External"/><Relationship Id="rId148" Type="http://schemas.openxmlformats.org/officeDocument/2006/relationships/hyperlink" Target="mailto:zht56@gmail.com" TargetMode="External"/><Relationship Id="rId164" Type="http://schemas.openxmlformats.org/officeDocument/2006/relationships/hyperlink" Target="mailto:dath56@gmail.com" TargetMode="External"/><Relationship Id="rId169" Type="http://schemas.openxmlformats.org/officeDocument/2006/relationships/hyperlink" Target="mailto:iqra56@gmail.com" TargetMode="External"/><Relationship Id="rId185" Type="http://schemas.openxmlformats.org/officeDocument/2006/relationships/hyperlink" Target="mailto:dar56@gmail.com" TargetMode="External"/><Relationship Id="rId4" Type="http://schemas.openxmlformats.org/officeDocument/2006/relationships/hyperlink" Target="mailto:lily23@gmail.com" TargetMode="External"/><Relationship Id="rId9" Type="http://schemas.openxmlformats.org/officeDocument/2006/relationships/hyperlink" Target="mailto:lone@gmail.com" TargetMode="External"/><Relationship Id="rId180" Type="http://schemas.openxmlformats.org/officeDocument/2006/relationships/hyperlink" Target="mailto:anaya56@gmail.com" TargetMode="External"/><Relationship Id="rId26" Type="http://schemas.openxmlformats.org/officeDocument/2006/relationships/hyperlink" Target="mailto:arham@gmail.com" TargetMode="External"/><Relationship Id="rId47" Type="http://schemas.openxmlformats.org/officeDocument/2006/relationships/hyperlink" Target="mailto:sana56@gmail.com" TargetMode="External"/><Relationship Id="rId68" Type="http://schemas.openxmlformats.org/officeDocument/2006/relationships/hyperlink" Target="mailto:charlie56@gmail.com" TargetMode="External"/><Relationship Id="rId89" Type="http://schemas.openxmlformats.org/officeDocument/2006/relationships/hyperlink" Target="mailto:smith56@gmail.com" TargetMode="External"/><Relationship Id="rId112" Type="http://schemas.openxmlformats.org/officeDocument/2006/relationships/hyperlink" Target="mailto:iron56@gmail.com" TargetMode="External"/><Relationship Id="rId133" Type="http://schemas.openxmlformats.org/officeDocument/2006/relationships/hyperlink" Target="mailto:danyal56@gmail.com" TargetMode="External"/><Relationship Id="rId154" Type="http://schemas.openxmlformats.org/officeDocument/2006/relationships/hyperlink" Target="mailto:artm56@gmail.com" TargetMode="External"/><Relationship Id="rId175" Type="http://schemas.openxmlformats.org/officeDocument/2006/relationships/hyperlink" Target="mailto:amna56@gmail.com" TargetMode="External"/><Relationship Id="rId16" Type="http://schemas.openxmlformats.org/officeDocument/2006/relationships/hyperlink" Target="mailto:gian67@gmail.com" TargetMode="External"/><Relationship Id="rId37" Type="http://schemas.openxmlformats.org/officeDocument/2006/relationships/hyperlink" Target="mailto:roman@gmail.com" TargetMode="External"/><Relationship Id="rId58" Type="http://schemas.openxmlformats.org/officeDocument/2006/relationships/hyperlink" Target="mailto:helen56@gmail.com" TargetMode="External"/><Relationship Id="rId79" Type="http://schemas.openxmlformats.org/officeDocument/2006/relationships/hyperlink" Target="mailto:charlie56@gmail.com" TargetMode="External"/><Relationship Id="rId102" Type="http://schemas.openxmlformats.org/officeDocument/2006/relationships/hyperlink" Target="mailto:zai56@gmail.com" TargetMode="External"/><Relationship Id="rId123" Type="http://schemas.openxmlformats.org/officeDocument/2006/relationships/hyperlink" Target="mailto:zeshan56@gmail.com" TargetMode="External"/><Relationship Id="rId144" Type="http://schemas.openxmlformats.org/officeDocument/2006/relationships/hyperlink" Target="mailto:zoi56@gmail.com" TargetMode="External"/><Relationship Id="rId90" Type="http://schemas.openxmlformats.org/officeDocument/2006/relationships/hyperlink" Target="mailto:hernandez56@gmail.com" TargetMode="External"/><Relationship Id="rId165" Type="http://schemas.openxmlformats.org/officeDocument/2006/relationships/hyperlink" Target="mailto:wood56@gmail.com" TargetMode="External"/><Relationship Id="rId186" Type="http://schemas.openxmlformats.org/officeDocument/2006/relationships/hyperlink" Target="mailto:shifiq56@gmail.com" TargetMode="External"/><Relationship Id="rId27" Type="http://schemas.openxmlformats.org/officeDocument/2006/relationships/hyperlink" Target="mailto:ahad67@gmail.com" TargetMode="External"/><Relationship Id="rId48" Type="http://schemas.openxmlformats.org/officeDocument/2006/relationships/hyperlink" Target="mailto:amna56@gmail.com" TargetMode="External"/><Relationship Id="rId69" Type="http://schemas.openxmlformats.org/officeDocument/2006/relationships/hyperlink" Target="mailto:juan56@gmail.com" TargetMode="External"/><Relationship Id="rId113" Type="http://schemas.openxmlformats.org/officeDocument/2006/relationships/hyperlink" Target="mailto:thor56@gmail.com" TargetMode="External"/><Relationship Id="rId134" Type="http://schemas.openxmlformats.org/officeDocument/2006/relationships/hyperlink" Target="mailto:subhan56@gmail.com" TargetMode="External"/><Relationship Id="rId80" Type="http://schemas.openxmlformats.org/officeDocument/2006/relationships/hyperlink" Target="mailto:helen56@gmail.com" TargetMode="External"/><Relationship Id="rId155" Type="http://schemas.openxmlformats.org/officeDocument/2006/relationships/hyperlink" Target="mailto:ahthsam56@gmail.com" TargetMode="External"/><Relationship Id="rId176" Type="http://schemas.openxmlformats.org/officeDocument/2006/relationships/hyperlink" Target="mailto:aeman56@gmail.com" TargetMode="External"/><Relationship Id="rId17" Type="http://schemas.openxmlformats.org/officeDocument/2006/relationships/hyperlink" Target="mailto:suniooo@gmail.com" TargetMode="External"/><Relationship Id="rId38" Type="http://schemas.openxmlformats.org/officeDocument/2006/relationships/hyperlink" Target="mailto:trayyab@gmail.com" TargetMode="External"/><Relationship Id="rId59" Type="http://schemas.openxmlformats.org/officeDocument/2006/relationships/hyperlink" Target="mailto:charlie56@gmail.com" TargetMode="External"/><Relationship Id="rId103" Type="http://schemas.openxmlformats.org/officeDocument/2006/relationships/hyperlink" Target="mailto:rose56@gmail.com" TargetMode="External"/><Relationship Id="rId124" Type="http://schemas.openxmlformats.org/officeDocument/2006/relationships/hyperlink" Target="mailto:mosa56@gmail.com" TargetMode="External"/><Relationship Id="rId70" Type="http://schemas.openxmlformats.org/officeDocument/2006/relationships/hyperlink" Target="mailto:doug56@gmail.com" TargetMode="External"/><Relationship Id="rId91" Type="http://schemas.openxmlformats.org/officeDocument/2006/relationships/hyperlink" Target="mailto:smith56@gmail.com" TargetMode="External"/><Relationship Id="rId145" Type="http://schemas.openxmlformats.org/officeDocument/2006/relationships/hyperlink" Target="mailto:zuni56@gmail.com" TargetMode="External"/><Relationship Id="rId166" Type="http://schemas.openxmlformats.org/officeDocument/2006/relationships/hyperlink" Target="mailto:arzoo56@gmail.com" TargetMode="External"/><Relationship Id="rId187" Type="http://schemas.openxmlformats.org/officeDocument/2006/relationships/hyperlink" Target="mailto:usman56@gmail.com" TargetMode="External"/><Relationship Id="rId1" Type="http://schemas.openxmlformats.org/officeDocument/2006/relationships/hyperlink" Target="mailto:zai12@gmail.com" TargetMode="External"/><Relationship Id="rId28" Type="http://schemas.openxmlformats.org/officeDocument/2006/relationships/hyperlink" Target="mailto:najam@gmail.com" TargetMode="External"/><Relationship Id="rId49" Type="http://schemas.openxmlformats.org/officeDocument/2006/relationships/hyperlink" Target="mailto:juan56@gmail.com" TargetMode="External"/><Relationship Id="rId114" Type="http://schemas.openxmlformats.org/officeDocument/2006/relationships/hyperlink" Target="mailto:shuzka56@gmail.com" TargetMode="External"/><Relationship Id="rId60" Type="http://schemas.openxmlformats.org/officeDocument/2006/relationships/hyperlink" Target="mailto:helen56@gmail.com" TargetMode="External"/><Relationship Id="rId81" Type="http://schemas.openxmlformats.org/officeDocument/2006/relationships/hyperlink" Target="mailto:juan56@gmail.com" TargetMode="External"/><Relationship Id="rId135" Type="http://schemas.openxmlformats.org/officeDocument/2006/relationships/hyperlink" Target="mailto:shan56@gmail.com" TargetMode="External"/><Relationship Id="rId156" Type="http://schemas.openxmlformats.org/officeDocument/2006/relationships/hyperlink" Target="mailto:atheshma56@gmail.com" TargetMode="External"/><Relationship Id="rId177" Type="http://schemas.openxmlformats.org/officeDocument/2006/relationships/hyperlink" Target="mailto:afifa56@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5" Type="http://schemas.microsoft.com/office/2011/relationships/timeline" Target="../timelines/timeline2.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5" Type="http://schemas.microsoft.com/office/2011/relationships/timeline" Target="../timelines/timeline3.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1/relationships/timeline" Target="../timelines/timelin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0"/>
  <sheetViews>
    <sheetView tabSelected="1" topLeftCell="E1" workbookViewId="0">
      <selection activeCell="J1" sqref="J1"/>
    </sheetView>
  </sheetViews>
  <sheetFormatPr defaultRowHeight="14.5" x14ac:dyDescent="0.35"/>
  <cols>
    <col min="1" max="1" width="17.08984375" customWidth="1"/>
    <col min="2" max="2" width="16" customWidth="1"/>
    <col min="3" max="3" width="15.90625" customWidth="1"/>
    <col min="4" max="4" width="15.08984375" customWidth="1"/>
    <col min="5" max="5" width="14.08984375" customWidth="1"/>
    <col min="6" max="6" width="10.6328125" customWidth="1"/>
    <col min="7" max="7" width="16.36328125" customWidth="1"/>
    <col min="8" max="8" width="17.7265625" customWidth="1"/>
    <col min="9" max="9" width="14.1796875" customWidth="1"/>
    <col min="12" max="12" width="10.7265625" customWidth="1"/>
    <col min="14" max="14" width="11.1796875" customWidth="1"/>
    <col min="15" max="15" width="10.90625" customWidth="1"/>
    <col min="16" max="16" width="12.36328125" customWidth="1"/>
  </cols>
  <sheetData>
    <row r="1" spans="1:16" x14ac:dyDescent="0.35">
      <c r="A1" t="s">
        <v>8</v>
      </c>
      <c r="B1" t="s">
        <v>9</v>
      </c>
      <c r="C1" t="s">
        <v>0</v>
      </c>
      <c r="D1" t="s">
        <v>1</v>
      </c>
      <c r="E1" t="s">
        <v>399</v>
      </c>
      <c r="F1" t="s">
        <v>2</v>
      </c>
      <c r="G1" t="s">
        <v>414</v>
      </c>
      <c r="H1" t="s">
        <v>3</v>
      </c>
      <c r="I1" t="s">
        <v>4</v>
      </c>
      <c r="J1" t="s">
        <v>5</v>
      </c>
      <c r="K1" t="s">
        <v>6</v>
      </c>
      <c r="L1" t="s">
        <v>674</v>
      </c>
      <c r="M1" t="s">
        <v>7</v>
      </c>
      <c r="N1" t="s">
        <v>702</v>
      </c>
      <c r="O1" t="s">
        <v>700</v>
      </c>
      <c r="P1" t="s">
        <v>720</v>
      </c>
    </row>
    <row r="2" spans="1:16" x14ac:dyDescent="0.35">
      <c r="A2" t="s">
        <v>10</v>
      </c>
      <c r="B2" s="1">
        <v>43713</v>
      </c>
      <c r="C2" t="s">
        <v>198</v>
      </c>
      <c r="D2" t="s">
        <v>400</v>
      </c>
      <c r="E2" t="s">
        <v>385</v>
      </c>
      <c r="F2">
        <v>3</v>
      </c>
      <c r="G2" t="s">
        <v>419</v>
      </c>
      <c r="H2" s="2" t="s">
        <v>514</v>
      </c>
      <c r="I2" t="s">
        <v>670</v>
      </c>
      <c r="J2" t="s">
        <v>698</v>
      </c>
      <c r="K2" t="s">
        <v>681</v>
      </c>
      <c r="L2">
        <v>2.2999999999999998</v>
      </c>
      <c r="M2">
        <f t="shared" ref="M2:M33" si="0">F:F+11</f>
        <v>14</v>
      </c>
      <c r="N2">
        <f>($M:M-5)</f>
        <v>9</v>
      </c>
      <c r="O2">
        <f>M:M-N:N-F:F</f>
        <v>2</v>
      </c>
      <c r="P2" t="s">
        <v>671</v>
      </c>
    </row>
    <row r="3" spans="1:16" x14ac:dyDescent="0.35">
      <c r="A3" t="s">
        <v>60</v>
      </c>
      <c r="B3" s="1">
        <v>43714</v>
      </c>
      <c r="C3" t="s">
        <v>199</v>
      </c>
      <c r="D3" t="s">
        <v>405</v>
      </c>
      <c r="E3" t="s">
        <v>386</v>
      </c>
      <c r="F3">
        <v>4</v>
      </c>
      <c r="G3" t="s">
        <v>420</v>
      </c>
      <c r="H3" s="2" t="s">
        <v>515</v>
      </c>
      <c r="I3" t="s">
        <v>670</v>
      </c>
      <c r="J3" t="s">
        <v>699</v>
      </c>
      <c r="K3" t="s">
        <v>682</v>
      </c>
      <c r="L3">
        <v>340.45</v>
      </c>
      <c r="M3">
        <f t="shared" si="0"/>
        <v>15</v>
      </c>
      <c r="N3">
        <f>($M:M-5)</f>
        <v>10</v>
      </c>
      <c r="O3">
        <f>M:M-N:N-F:F</f>
        <v>1</v>
      </c>
      <c r="P3" t="s">
        <v>671</v>
      </c>
    </row>
    <row r="4" spans="1:16" x14ac:dyDescent="0.35">
      <c r="A4" t="s">
        <v>61</v>
      </c>
      <c r="B4" s="1">
        <v>43715</v>
      </c>
      <c r="C4" t="s">
        <v>200</v>
      </c>
      <c r="D4" t="s">
        <v>402</v>
      </c>
      <c r="E4" t="s">
        <v>387</v>
      </c>
      <c r="F4">
        <v>7</v>
      </c>
      <c r="G4" t="s">
        <v>421</v>
      </c>
      <c r="H4" s="2" t="s">
        <v>516</v>
      </c>
      <c r="I4" t="s">
        <v>670</v>
      </c>
      <c r="J4" t="s">
        <v>699</v>
      </c>
      <c r="K4" t="s">
        <v>683</v>
      </c>
      <c r="L4">
        <v>369</v>
      </c>
      <c r="M4">
        <f t="shared" si="0"/>
        <v>18</v>
      </c>
      <c r="N4">
        <f>($M:M-5)</f>
        <v>13</v>
      </c>
      <c r="O4">
        <v>0</v>
      </c>
      <c r="P4" t="s">
        <v>671</v>
      </c>
    </row>
    <row r="5" spans="1:16" x14ac:dyDescent="0.35">
      <c r="A5" t="s">
        <v>62</v>
      </c>
      <c r="B5" s="1">
        <v>43654</v>
      </c>
      <c r="C5" t="s">
        <v>201</v>
      </c>
      <c r="D5" t="s">
        <v>408</v>
      </c>
      <c r="E5" t="s">
        <v>385</v>
      </c>
      <c r="F5">
        <v>9</v>
      </c>
      <c r="G5" t="s">
        <v>422</v>
      </c>
      <c r="H5" s="2" t="s">
        <v>517</v>
      </c>
      <c r="I5" t="s">
        <v>665</v>
      </c>
      <c r="J5" t="s">
        <v>698</v>
      </c>
      <c r="K5" t="s">
        <v>684</v>
      </c>
      <c r="L5">
        <v>2.2999999999999998</v>
      </c>
      <c r="M5">
        <f t="shared" si="0"/>
        <v>20</v>
      </c>
      <c r="N5">
        <f>($M:M-5)</f>
        <v>15</v>
      </c>
      <c r="O5">
        <v>0</v>
      </c>
      <c r="P5" t="s">
        <v>671</v>
      </c>
    </row>
    <row r="6" spans="1:16" x14ac:dyDescent="0.35">
      <c r="A6" t="s">
        <v>63</v>
      </c>
      <c r="B6" s="1">
        <v>43564</v>
      </c>
      <c r="C6" t="s">
        <v>202</v>
      </c>
      <c r="D6" t="s">
        <v>403</v>
      </c>
      <c r="E6" t="s">
        <v>388</v>
      </c>
      <c r="F6">
        <v>1</v>
      </c>
      <c r="G6" t="s">
        <v>423</v>
      </c>
      <c r="H6" s="2" t="s">
        <v>518</v>
      </c>
      <c r="I6" t="s">
        <v>670</v>
      </c>
      <c r="J6" t="s">
        <v>698</v>
      </c>
      <c r="K6" t="s">
        <v>685</v>
      </c>
      <c r="L6">
        <v>45</v>
      </c>
      <c r="M6">
        <f t="shared" si="0"/>
        <v>12</v>
      </c>
      <c r="N6">
        <f>($M:M-5)</f>
        <v>7</v>
      </c>
      <c r="O6">
        <f>M:M-N:N-F:F</f>
        <v>4</v>
      </c>
      <c r="P6" t="s">
        <v>671</v>
      </c>
    </row>
    <row r="7" spans="1:16" x14ac:dyDescent="0.35">
      <c r="A7" t="s">
        <v>64</v>
      </c>
      <c r="B7" s="1">
        <v>43687</v>
      </c>
      <c r="C7" t="s">
        <v>203</v>
      </c>
      <c r="D7" t="s">
        <v>402</v>
      </c>
      <c r="E7" t="s">
        <v>389</v>
      </c>
      <c r="F7">
        <v>4</v>
      </c>
      <c r="G7" t="s">
        <v>424</v>
      </c>
      <c r="H7" s="2" t="s">
        <v>519</v>
      </c>
      <c r="I7" t="s">
        <v>665</v>
      </c>
      <c r="J7" t="s">
        <v>698</v>
      </c>
      <c r="K7" t="s">
        <v>686</v>
      </c>
      <c r="L7">
        <v>75</v>
      </c>
      <c r="M7">
        <f t="shared" si="0"/>
        <v>15</v>
      </c>
      <c r="N7">
        <f>($M:M-5)</f>
        <v>10</v>
      </c>
      <c r="O7">
        <f>M:M-N:N-F:F</f>
        <v>1</v>
      </c>
      <c r="P7" t="s">
        <v>672</v>
      </c>
    </row>
    <row r="8" spans="1:16" x14ac:dyDescent="0.35">
      <c r="A8" t="s">
        <v>401</v>
      </c>
      <c r="B8" s="1">
        <v>43507</v>
      </c>
      <c r="C8" t="s">
        <v>204</v>
      </c>
      <c r="D8" t="s">
        <v>407</v>
      </c>
      <c r="E8" t="s">
        <v>392</v>
      </c>
      <c r="F8">
        <v>6</v>
      </c>
      <c r="G8" t="s">
        <v>425</v>
      </c>
      <c r="H8" s="2" t="s">
        <v>520</v>
      </c>
      <c r="I8" t="s">
        <v>669</v>
      </c>
      <c r="J8" t="s">
        <v>698</v>
      </c>
      <c r="K8" t="s">
        <v>687</v>
      </c>
      <c r="L8">
        <v>2</v>
      </c>
      <c r="M8">
        <f t="shared" si="0"/>
        <v>17</v>
      </c>
      <c r="N8">
        <f>($M:M-5)</f>
        <v>12</v>
      </c>
      <c r="O8">
        <v>0</v>
      </c>
      <c r="P8" t="s">
        <v>671</v>
      </c>
    </row>
    <row r="9" spans="1:16" x14ac:dyDescent="0.35">
      <c r="A9" t="s">
        <v>65</v>
      </c>
      <c r="B9" s="1">
        <v>43720</v>
      </c>
      <c r="C9" t="s">
        <v>205</v>
      </c>
      <c r="D9" t="s">
        <v>404</v>
      </c>
      <c r="E9" t="s">
        <v>390</v>
      </c>
      <c r="F9">
        <v>3</v>
      </c>
      <c r="G9" t="s">
        <v>426</v>
      </c>
      <c r="H9" s="2" t="s">
        <v>521</v>
      </c>
      <c r="I9" t="s">
        <v>670</v>
      </c>
      <c r="J9" t="s">
        <v>698</v>
      </c>
      <c r="K9" t="s">
        <v>684</v>
      </c>
      <c r="L9">
        <v>2</v>
      </c>
      <c r="M9">
        <f t="shared" si="0"/>
        <v>14</v>
      </c>
      <c r="N9">
        <f>($M:M-5)</f>
        <v>9</v>
      </c>
      <c r="O9">
        <f>M:M-N:N-F:F</f>
        <v>2</v>
      </c>
      <c r="P9" t="s">
        <v>671</v>
      </c>
    </row>
    <row r="10" spans="1:16" x14ac:dyDescent="0.35">
      <c r="A10" t="s">
        <v>66</v>
      </c>
      <c r="B10" s="1">
        <v>43478</v>
      </c>
      <c r="C10" t="s">
        <v>206</v>
      </c>
      <c r="D10" t="s">
        <v>405</v>
      </c>
      <c r="E10" t="s">
        <v>386</v>
      </c>
      <c r="F10">
        <v>6</v>
      </c>
      <c r="G10" t="s">
        <v>427</v>
      </c>
      <c r="H10" s="2" t="s">
        <v>522</v>
      </c>
      <c r="I10" t="s">
        <v>669</v>
      </c>
      <c r="J10" t="s">
        <v>699</v>
      </c>
      <c r="K10" t="s">
        <v>683</v>
      </c>
      <c r="L10">
        <v>340</v>
      </c>
      <c r="M10">
        <f t="shared" si="0"/>
        <v>17</v>
      </c>
      <c r="N10">
        <f>($M:M-5)</f>
        <v>12</v>
      </c>
      <c r="O10">
        <v>0</v>
      </c>
      <c r="P10" t="s">
        <v>671</v>
      </c>
    </row>
    <row r="11" spans="1:16" x14ac:dyDescent="0.35">
      <c r="A11" t="s">
        <v>67</v>
      </c>
      <c r="B11" s="1">
        <v>44088</v>
      </c>
      <c r="C11" t="s">
        <v>207</v>
      </c>
      <c r="D11" t="s">
        <v>406</v>
      </c>
      <c r="E11" t="s">
        <v>386</v>
      </c>
      <c r="F11">
        <v>3</v>
      </c>
      <c r="G11" t="s">
        <v>428</v>
      </c>
      <c r="H11" s="2" t="s">
        <v>523</v>
      </c>
      <c r="I11" t="s">
        <v>665</v>
      </c>
      <c r="J11" t="s">
        <v>699</v>
      </c>
      <c r="K11" t="s">
        <v>682</v>
      </c>
      <c r="L11">
        <v>348</v>
      </c>
      <c r="M11">
        <f t="shared" si="0"/>
        <v>14</v>
      </c>
      <c r="N11">
        <f>($M:M-5)</f>
        <v>9</v>
      </c>
      <c r="O11">
        <f>M:M-N:N-F:F</f>
        <v>2</v>
      </c>
      <c r="P11" t="s">
        <v>671</v>
      </c>
    </row>
    <row r="12" spans="1:16" x14ac:dyDescent="0.35">
      <c r="A12" t="s">
        <v>68</v>
      </c>
      <c r="B12" s="1">
        <v>43570</v>
      </c>
      <c r="C12" t="s">
        <v>208</v>
      </c>
      <c r="D12" t="s">
        <v>402</v>
      </c>
      <c r="E12" t="s">
        <v>385</v>
      </c>
      <c r="F12">
        <v>5</v>
      </c>
      <c r="G12" t="s">
        <v>429</v>
      </c>
      <c r="H12" s="2" t="s">
        <v>524</v>
      </c>
      <c r="I12" t="s">
        <v>667</v>
      </c>
      <c r="J12" t="s">
        <v>698</v>
      </c>
      <c r="K12" t="s">
        <v>688</v>
      </c>
      <c r="L12">
        <v>2</v>
      </c>
      <c r="M12">
        <f t="shared" si="0"/>
        <v>16</v>
      </c>
      <c r="N12">
        <f>($M:M-5)</f>
        <v>11</v>
      </c>
      <c r="O12">
        <f>M:M-N:N-F:F</f>
        <v>0</v>
      </c>
      <c r="P12" t="s">
        <v>672</v>
      </c>
    </row>
    <row r="13" spans="1:16" x14ac:dyDescent="0.35">
      <c r="A13" t="s">
        <v>69</v>
      </c>
      <c r="B13" s="1">
        <v>43481</v>
      </c>
      <c r="C13" t="s">
        <v>209</v>
      </c>
      <c r="D13" t="s">
        <v>405</v>
      </c>
      <c r="E13" t="s">
        <v>385</v>
      </c>
      <c r="F13">
        <v>1</v>
      </c>
      <c r="G13" t="s">
        <v>430</v>
      </c>
      <c r="H13" s="2" t="s">
        <v>525</v>
      </c>
      <c r="I13" t="s">
        <v>665</v>
      </c>
      <c r="J13" t="s">
        <v>698</v>
      </c>
      <c r="K13" t="s">
        <v>688</v>
      </c>
      <c r="L13">
        <v>3</v>
      </c>
      <c r="M13">
        <f t="shared" si="0"/>
        <v>12</v>
      </c>
      <c r="N13">
        <f>($M:M-5)</f>
        <v>7</v>
      </c>
      <c r="O13">
        <f>M:M-N:N-F:F</f>
        <v>4</v>
      </c>
      <c r="P13" t="s">
        <v>672</v>
      </c>
    </row>
    <row r="14" spans="1:16" x14ac:dyDescent="0.35">
      <c r="A14" t="s">
        <v>70</v>
      </c>
      <c r="B14" s="1">
        <v>43725</v>
      </c>
      <c r="C14" t="s">
        <v>210</v>
      </c>
      <c r="D14" t="s">
        <v>407</v>
      </c>
      <c r="E14" t="s">
        <v>391</v>
      </c>
      <c r="F14">
        <v>7</v>
      </c>
      <c r="G14" t="s">
        <v>431</v>
      </c>
      <c r="H14" s="2" t="s">
        <v>526</v>
      </c>
      <c r="I14" t="s">
        <v>665</v>
      </c>
      <c r="J14" t="s">
        <v>698</v>
      </c>
      <c r="K14" t="s">
        <v>689</v>
      </c>
      <c r="L14">
        <v>1</v>
      </c>
      <c r="M14">
        <f t="shared" si="0"/>
        <v>18</v>
      </c>
      <c r="N14">
        <f>($M:M-5)</f>
        <v>13</v>
      </c>
      <c r="O14">
        <v>0</v>
      </c>
      <c r="P14" t="s">
        <v>672</v>
      </c>
    </row>
    <row r="15" spans="1:16" x14ac:dyDescent="0.35">
      <c r="A15" t="s">
        <v>71</v>
      </c>
      <c r="B15" s="1">
        <v>43726</v>
      </c>
      <c r="C15" t="s">
        <v>211</v>
      </c>
      <c r="D15" t="s">
        <v>408</v>
      </c>
      <c r="E15" t="s">
        <v>388</v>
      </c>
      <c r="F15">
        <v>2</v>
      </c>
      <c r="G15" t="s">
        <v>432</v>
      </c>
      <c r="H15" s="2" t="s">
        <v>527</v>
      </c>
      <c r="I15" t="s">
        <v>665</v>
      </c>
      <c r="J15" t="s">
        <v>698</v>
      </c>
      <c r="K15" t="s">
        <v>685</v>
      </c>
      <c r="L15">
        <v>83</v>
      </c>
      <c r="M15">
        <f t="shared" si="0"/>
        <v>13</v>
      </c>
      <c r="N15">
        <f>($M:M-5)</f>
        <v>8</v>
      </c>
      <c r="O15">
        <f>M:M-N:N-F:F</f>
        <v>3</v>
      </c>
      <c r="P15" t="s">
        <v>672</v>
      </c>
    </row>
    <row r="16" spans="1:16" x14ac:dyDescent="0.35">
      <c r="A16" t="s">
        <v>72</v>
      </c>
      <c r="B16" s="1">
        <v>43727</v>
      </c>
      <c r="C16" t="s">
        <v>212</v>
      </c>
      <c r="D16" t="s">
        <v>400</v>
      </c>
      <c r="E16" t="s">
        <v>388</v>
      </c>
      <c r="F16">
        <v>8</v>
      </c>
      <c r="G16" t="s">
        <v>433</v>
      </c>
      <c r="H16" s="2" t="s">
        <v>528</v>
      </c>
      <c r="I16" t="s">
        <v>670</v>
      </c>
      <c r="J16" t="s">
        <v>698</v>
      </c>
      <c r="K16" t="s">
        <v>685</v>
      </c>
      <c r="L16">
        <v>70</v>
      </c>
      <c r="M16">
        <f t="shared" si="0"/>
        <v>19</v>
      </c>
      <c r="N16">
        <f>($M:M-5)</f>
        <v>14</v>
      </c>
      <c r="O16">
        <v>0</v>
      </c>
      <c r="P16" t="s">
        <v>671</v>
      </c>
    </row>
    <row r="17" spans="1:16" x14ac:dyDescent="0.35">
      <c r="A17" t="s">
        <v>73</v>
      </c>
      <c r="B17" s="1">
        <v>43575</v>
      </c>
      <c r="C17" t="s">
        <v>213</v>
      </c>
      <c r="D17" t="s">
        <v>409</v>
      </c>
      <c r="E17" t="s">
        <v>387</v>
      </c>
      <c r="F17">
        <v>9</v>
      </c>
      <c r="G17" t="s">
        <v>434</v>
      </c>
      <c r="H17" s="2" t="s">
        <v>529</v>
      </c>
      <c r="I17" t="s">
        <v>665</v>
      </c>
      <c r="J17" t="s">
        <v>699</v>
      </c>
      <c r="K17" t="s">
        <v>683</v>
      </c>
      <c r="L17">
        <v>340</v>
      </c>
      <c r="M17">
        <f t="shared" si="0"/>
        <v>20</v>
      </c>
      <c r="N17">
        <f>($M:M-5)</f>
        <v>15</v>
      </c>
      <c r="O17">
        <v>0</v>
      </c>
      <c r="P17" t="s">
        <v>671</v>
      </c>
    </row>
    <row r="18" spans="1:16" x14ac:dyDescent="0.35">
      <c r="A18" t="s">
        <v>74</v>
      </c>
      <c r="B18" s="1">
        <v>43517</v>
      </c>
      <c r="C18" t="s">
        <v>214</v>
      </c>
      <c r="D18" t="s">
        <v>404</v>
      </c>
      <c r="E18" t="s">
        <v>391</v>
      </c>
      <c r="F18">
        <v>2</v>
      </c>
      <c r="G18" t="s">
        <v>435</v>
      </c>
      <c r="H18" s="2" t="s">
        <v>530</v>
      </c>
      <c r="I18" t="s">
        <v>669</v>
      </c>
      <c r="J18" t="s">
        <v>698</v>
      </c>
      <c r="K18" t="s">
        <v>682</v>
      </c>
      <c r="L18">
        <v>1</v>
      </c>
      <c r="M18">
        <f t="shared" si="0"/>
        <v>13</v>
      </c>
      <c r="N18">
        <f>($M:M-5)</f>
        <v>8</v>
      </c>
      <c r="O18">
        <f>M:M-N:N-F:F</f>
        <v>3</v>
      </c>
      <c r="P18" t="s">
        <v>671</v>
      </c>
    </row>
    <row r="19" spans="1:16" x14ac:dyDescent="0.35">
      <c r="A19" t="s">
        <v>75</v>
      </c>
      <c r="B19" s="1">
        <v>43730</v>
      </c>
      <c r="C19" t="s">
        <v>215</v>
      </c>
      <c r="D19" t="s">
        <v>408</v>
      </c>
      <c r="E19" t="s">
        <v>393</v>
      </c>
      <c r="F19">
        <v>7</v>
      </c>
      <c r="G19" t="s">
        <v>436</v>
      </c>
      <c r="H19" s="2" t="s">
        <v>531</v>
      </c>
      <c r="I19" t="s">
        <v>667</v>
      </c>
      <c r="J19" t="s">
        <v>698</v>
      </c>
      <c r="K19" t="s">
        <v>690</v>
      </c>
      <c r="L19">
        <v>0.01</v>
      </c>
      <c r="M19">
        <f t="shared" si="0"/>
        <v>18</v>
      </c>
      <c r="N19">
        <f>($M:M-5)</f>
        <v>13</v>
      </c>
      <c r="O19">
        <v>0</v>
      </c>
      <c r="P19" t="s">
        <v>671</v>
      </c>
    </row>
    <row r="20" spans="1:16" x14ac:dyDescent="0.35">
      <c r="A20" t="s">
        <v>76</v>
      </c>
      <c r="B20" s="1">
        <v>43519</v>
      </c>
      <c r="C20" t="s">
        <v>216</v>
      </c>
      <c r="D20" t="s">
        <v>406</v>
      </c>
      <c r="E20" t="s">
        <v>393</v>
      </c>
      <c r="F20">
        <v>2</v>
      </c>
      <c r="G20" t="s">
        <v>437</v>
      </c>
      <c r="H20" s="2" t="s">
        <v>532</v>
      </c>
      <c r="I20" t="s">
        <v>665</v>
      </c>
      <c r="J20" t="s">
        <v>698</v>
      </c>
      <c r="K20" t="s">
        <v>690</v>
      </c>
      <c r="L20">
        <v>0.1</v>
      </c>
      <c r="M20">
        <f t="shared" si="0"/>
        <v>13</v>
      </c>
      <c r="N20">
        <f>($M:M-5)</f>
        <v>8</v>
      </c>
      <c r="O20">
        <f>M:M-N:N-F:F</f>
        <v>3</v>
      </c>
      <c r="P20" t="s">
        <v>671</v>
      </c>
    </row>
    <row r="21" spans="1:16" x14ac:dyDescent="0.35">
      <c r="A21" t="s">
        <v>77</v>
      </c>
      <c r="B21" s="1">
        <v>43489</v>
      </c>
      <c r="C21" t="s">
        <v>217</v>
      </c>
      <c r="D21" t="s">
        <v>402</v>
      </c>
      <c r="E21" t="s">
        <v>394</v>
      </c>
      <c r="F21">
        <v>1</v>
      </c>
      <c r="G21" t="s">
        <v>438</v>
      </c>
      <c r="H21" s="2" t="s">
        <v>533</v>
      </c>
      <c r="I21" t="s">
        <v>670</v>
      </c>
      <c r="J21" t="s">
        <v>698</v>
      </c>
      <c r="K21" t="s">
        <v>691</v>
      </c>
      <c r="L21">
        <v>20</v>
      </c>
      <c r="M21">
        <f t="shared" si="0"/>
        <v>12</v>
      </c>
      <c r="N21">
        <f>($M:M-5)</f>
        <v>7</v>
      </c>
      <c r="O21">
        <f>M:M-N:N-F:F</f>
        <v>4</v>
      </c>
      <c r="P21" t="s">
        <v>672</v>
      </c>
    </row>
    <row r="22" spans="1:16" x14ac:dyDescent="0.35">
      <c r="A22" t="s">
        <v>78</v>
      </c>
      <c r="B22" s="1">
        <v>45560</v>
      </c>
      <c r="C22" t="s">
        <v>218</v>
      </c>
      <c r="D22" t="s">
        <v>405</v>
      </c>
      <c r="E22" t="s">
        <v>394</v>
      </c>
      <c r="F22">
        <v>5</v>
      </c>
      <c r="G22" t="s">
        <v>439</v>
      </c>
      <c r="H22" s="2" t="s">
        <v>534</v>
      </c>
      <c r="I22" t="s">
        <v>665</v>
      </c>
      <c r="J22" t="s">
        <v>698</v>
      </c>
      <c r="K22" t="s">
        <v>691</v>
      </c>
      <c r="L22">
        <v>20</v>
      </c>
      <c r="M22">
        <f t="shared" si="0"/>
        <v>16</v>
      </c>
      <c r="N22">
        <f>($M:M-5)</f>
        <v>11</v>
      </c>
      <c r="O22">
        <f>M:M-N:N-F:F</f>
        <v>0</v>
      </c>
      <c r="P22" t="s">
        <v>671</v>
      </c>
    </row>
    <row r="23" spans="1:16" x14ac:dyDescent="0.35">
      <c r="A23" t="s">
        <v>79</v>
      </c>
      <c r="B23" s="1">
        <v>43522</v>
      </c>
      <c r="C23" t="s">
        <v>219</v>
      </c>
      <c r="D23" t="s">
        <v>407</v>
      </c>
      <c r="E23" t="s">
        <v>394</v>
      </c>
      <c r="F23">
        <v>7</v>
      </c>
      <c r="G23" t="s">
        <v>440</v>
      </c>
      <c r="H23" s="2" t="s">
        <v>535</v>
      </c>
      <c r="I23" t="s">
        <v>665</v>
      </c>
      <c r="J23" t="s">
        <v>698</v>
      </c>
      <c r="K23" t="s">
        <v>691</v>
      </c>
      <c r="L23">
        <v>20</v>
      </c>
      <c r="M23">
        <f t="shared" si="0"/>
        <v>18</v>
      </c>
      <c r="N23">
        <f>($M:M-5)</f>
        <v>13</v>
      </c>
      <c r="O23">
        <v>0</v>
      </c>
      <c r="P23" t="s">
        <v>672</v>
      </c>
    </row>
    <row r="24" spans="1:16" x14ac:dyDescent="0.35">
      <c r="A24" t="s">
        <v>80</v>
      </c>
      <c r="B24" s="1">
        <v>43735</v>
      </c>
      <c r="C24" t="s">
        <v>220</v>
      </c>
      <c r="D24" t="s">
        <v>409</v>
      </c>
      <c r="E24" t="s">
        <v>386</v>
      </c>
      <c r="F24">
        <v>3</v>
      </c>
      <c r="G24" t="s">
        <v>441</v>
      </c>
      <c r="H24" s="2" t="s">
        <v>536</v>
      </c>
      <c r="I24" t="s">
        <v>667</v>
      </c>
      <c r="J24" t="s">
        <v>699</v>
      </c>
      <c r="L24">
        <v>234</v>
      </c>
      <c r="M24">
        <f t="shared" si="0"/>
        <v>14</v>
      </c>
      <c r="N24">
        <f>($M:M-5)</f>
        <v>9</v>
      </c>
      <c r="O24">
        <f>M:M-N:N-F:F</f>
        <v>2</v>
      </c>
      <c r="P24" t="s">
        <v>671</v>
      </c>
    </row>
    <row r="25" spans="1:16" x14ac:dyDescent="0.35">
      <c r="A25" t="s">
        <v>81</v>
      </c>
      <c r="B25" s="1">
        <v>43552</v>
      </c>
      <c r="C25" t="s">
        <v>221</v>
      </c>
      <c r="D25" t="s">
        <v>400</v>
      </c>
      <c r="E25" t="s">
        <v>394</v>
      </c>
      <c r="F25">
        <v>9</v>
      </c>
      <c r="G25" t="s">
        <v>442</v>
      </c>
      <c r="H25" s="2" t="s">
        <v>537</v>
      </c>
      <c r="I25" t="s">
        <v>665</v>
      </c>
      <c r="J25" t="s">
        <v>698</v>
      </c>
      <c r="K25" t="s">
        <v>691</v>
      </c>
      <c r="L25">
        <v>20</v>
      </c>
      <c r="M25">
        <f t="shared" si="0"/>
        <v>20</v>
      </c>
      <c r="N25">
        <f>($M:M-5)</f>
        <v>15</v>
      </c>
      <c r="O25">
        <v>0</v>
      </c>
      <c r="P25" t="s">
        <v>671</v>
      </c>
    </row>
    <row r="26" spans="1:16" x14ac:dyDescent="0.35">
      <c r="A26" t="s">
        <v>82</v>
      </c>
      <c r="B26" s="1">
        <v>43675</v>
      </c>
      <c r="C26" t="s">
        <v>222</v>
      </c>
      <c r="D26" t="s">
        <v>406</v>
      </c>
      <c r="E26" t="s">
        <v>396</v>
      </c>
      <c r="F26">
        <v>2</v>
      </c>
      <c r="G26" t="s">
        <v>443</v>
      </c>
      <c r="H26" s="2" t="s">
        <v>538</v>
      </c>
      <c r="I26" t="s">
        <v>664</v>
      </c>
      <c r="J26" t="s">
        <v>698</v>
      </c>
      <c r="K26" t="s">
        <v>693</v>
      </c>
      <c r="L26">
        <v>12</v>
      </c>
      <c r="M26">
        <f t="shared" si="0"/>
        <v>13</v>
      </c>
      <c r="N26">
        <f>($M:M-5)</f>
        <v>8</v>
      </c>
      <c r="O26">
        <f>M:M-N:N-F:F</f>
        <v>3</v>
      </c>
      <c r="P26" t="s">
        <v>671</v>
      </c>
    </row>
    <row r="27" spans="1:16" x14ac:dyDescent="0.35">
      <c r="A27" t="s">
        <v>83</v>
      </c>
      <c r="B27" s="1">
        <v>43615</v>
      </c>
      <c r="C27" t="s">
        <v>223</v>
      </c>
      <c r="D27" t="s">
        <v>404</v>
      </c>
      <c r="E27" t="s">
        <v>385</v>
      </c>
      <c r="F27">
        <v>3</v>
      </c>
      <c r="G27" t="s">
        <v>444</v>
      </c>
      <c r="H27" s="2" t="s">
        <v>539</v>
      </c>
      <c r="I27" t="s">
        <v>669</v>
      </c>
      <c r="J27" t="s">
        <v>698</v>
      </c>
      <c r="K27" t="s">
        <v>684</v>
      </c>
      <c r="L27">
        <v>2</v>
      </c>
      <c r="M27">
        <f t="shared" si="0"/>
        <v>14</v>
      </c>
      <c r="N27">
        <f>($M:M-5)</f>
        <v>9</v>
      </c>
      <c r="O27">
        <f>M:M-N:N-F:F</f>
        <v>2</v>
      </c>
      <c r="P27" t="s">
        <v>671</v>
      </c>
    </row>
    <row r="28" spans="1:16" x14ac:dyDescent="0.35">
      <c r="A28" t="s">
        <v>84</v>
      </c>
      <c r="B28" s="1">
        <v>43739</v>
      </c>
      <c r="C28" t="s">
        <v>224</v>
      </c>
      <c r="D28" t="s">
        <v>409</v>
      </c>
      <c r="E28" t="s">
        <v>388</v>
      </c>
      <c r="F28">
        <v>2</v>
      </c>
      <c r="G28" t="s">
        <v>445</v>
      </c>
      <c r="H28" s="2" t="s">
        <v>540</v>
      </c>
      <c r="I28" t="s">
        <v>665</v>
      </c>
      <c r="J28" t="s">
        <v>698</v>
      </c>
      <c r="K28" t="s">
        <v>685</v>
      </c>
      <c r="L28">
        <v>70</v>
      </c>
      <c r="M28">
        <f t="shared" si="0"/>
        <v>13</v>
      </c>
      <c r="N28">
        <f>($M:M-5)</f>
        <v>8</v>
      </c>
      <c r="O28">
        <f>M:M-N:N-F:F</f>
        <v>3</v>
      </c>
      <c r="P28" t="s">
        <v>671</v>
      </c>
    </row>
    <row r="29" spans="1:16" x14ac:dyDescent="0.35">
      <c r="A29" t="s">
        <v>85</v>
      </c>
      <c r="B29" s="1">
        <v>43740</v>
      </c>
      <c r="C29" t="s">
        <v>225</v>
      </c>
      <c r="D29" t="s">
        <v>406</v>
      </c>
      <c r="E29" t="s">
        <v>385</v>
      </c>
      <c r="F29">
        <v>2</v>
      </c>
      <c r="G29" t="s">
        <v>446</v>
      </c>
      <c r="H29" s="2" t="s">
        <v>541</v>
      </c>
      <c r="I29" t="s">
        <v>664</v>
      </c>
      <c r="J29" t="s">
        <v>698</v>
      </c>
      <c r="K29" t="s">
        <v>688</v>
      </c>
      <c r="L29">
        <v>2</v>
      </c>
      <c r="M29">
        <f t="shared" si="0"/>
        <v>13</v>
      </c>
      <c r="N29">
        <f>($M:M-5)</f>
        <v>8</v>
      </c>
      <c r="O29">
        <f>M:M-N:N-F:F</f>
        <v>3</v>
      </c>
      <c r="P29" t="s">
        <v>671</v>
      </c>
    </row>
    <row r="30" spans="1:16" x14ac:dyDescent="0.35">
      <c r="A30" t="s">
        <v>86</v>
      </c>
      <c r="B30" s="1">
        <v>43741</v>
      </c>
      <c r="C30" t="s">
        <v>226</v>
      </c>
      <c r="D30" t="s">
        <v>409</v>
      </c>
      <c r="E30" t="s">
        <v>391</v>
      </c>
      <c r="F30">
        <v>6</v>
      </c>
      <c r="G30" t="s">
        <v>447</v>
      </c>
      <c r="H30" s="2" t="s">
        <v>542</v>
      </c>
      <c r="I30" t="s">
        <v>670</v>
      </c>
      <c r="J30" t="s">
        <v>698</v>
      </c>
      <c r="K30" t="s">
        <v>689</v>
      </c>
      <c r="L30">
        <v>1</v>
      </c>
      <c r="M30">
        <f t="shared" si="0"/>
        <v>17</v>
      </c>
      <c r="N30">
        <f>($M:M-5)</f>
        <v>12</v>
      </c>
      <c r="O30">
        <v>0</v>
      </c>
      <c r="P30" t="s">
        <v>672</v>
      </c>
    </row>
    <row r="31" spans="1:16" x14ac:dyDescent="0.35">
      <c r="A31" t="s">
        <v>11</v>
      </c>
      <c r="B31" s="1">
        <v>43528</v>
      </c>
      <c r="C31" t="s">
        <v>227</v>
      </c>
      <c r="D31" t="s">
        <v>408</v>
      </c>
      <c r="E31" t="s">
        <v>385</v>
      </c>
      <c r="F31">
        <v>2</v>
      </c>
      <c r="G31" t="s">
        <v>448</v>
      </c>
      <c r="H31" s="2" t="s">
        <v>543</v>
      </c>
      <c r="I31" t="s">
        <v>665</v>
      </c>
      <c r="J31" t="s">
        <v>698</v>
      </c>
      <c r="K31" t="s">
        <v>688</v>
      </c>
      <c r="L31">
        <v>2</v>
      </c>
      <c r="M31">
        <f t="shared" si="0"/>
        <v>13</v>
      </c>
      <c r="N31">
        <f>($M:M-5)</f>
        <v>8</v>
      </c>
      <c r="O31">
        <f t="shared" ref="O31:O36" si="1">M:M-N:N-F:F</f>
        <v>3</v>
      </c>
      <c r="P31" t="s">
        <v>672</v>
      </c>
    </row>
    <row r="32" spans="1:16" x14ac:dyDescent="0.35">
      <c r="A32" t="s">
        <v>12</v>
      </c>
      <c r="B32" s="1">
        <v>43743</v>
      </c>
      <c r="C32" t="s">
        <v>228</v>
      </c>
      <c r="D32" t="s">
        <v>407</v>
      </c>
      <c r="E32" t="s">
        <v>385</v>
      </c>
      <c r="F32">
        <v>3</v>
      </c>
      <c r="G32" t="s">
        <v>449</v>
      </c>
      <c r="H32" s="2" t="s">
        <v>544</v>
      </c>
      <c r="I32" t="s">
        <v>664</v>
      </c>
      <c r="J32" t="s">
        <v>698</v>
      </c>
      <c r="K32" t="s">
        <v>688</v>
      </c>
      <c r="L32">
        <v>2</v>
      </c>
      <c r="M32">
        <f t="shared" si="0"/>
        <v>14</v>
      </c>
      <c r="N32">
        <f>($M:M-5)</f>
        <v>9</v>
      </c>
      <c r="O32">
        <f t="shared" si="1"/>
        <v>2</v>
      </c>
      <c r="P32" t="s">
        <v>672</v>
      </c>
    </row>
    <row r="33" spans="1:16" x14ac:dyDescent="0.35">
      <c r="A33" t="s">
        <v>13</v>
      </c>
      <c r="B33" s="1">
        <v>43744</v>
      </c>
      <c r="C33" t="s">
        <v>229</v>
      </c>
      <c r="D33" t="s">
        <v>409</v>
      </c>
      <c r="E33" t="s">
        <v>385</v>
      </c>
      <c r="F33">
        <v>4</v>
      </c>
      <c r="G33" t="s">
        <v>437</v>
      </c>
      <c r="H33" s="2" t="s">
        <v>545</v>
      </c>
      <c r="I33" t="s">
        <v>667</v>
      </c>
      <c r="J33" t="s">
        <v>698</v>
      </c>
      <c r="K33" t="s">
        <v>688</v>
      </c>
      <c r="L33">
        <v>2</v>
      </c>
      <c r="M33">
        <f t="shared" si="0"/>
        <v>15</v>
      </c>
      <c r="N33">
        <f>($M:M-5)</f>
        <v>10</v>
      </c>
      <c r="O33">
        <f t="shared" si="1"/>
        <v>1</v>
      </c>
      <c r="P33" t="s">
        <v>672</v>
      </c>
    </row>
    <row r="34" spans="1:16" x14ac:dyDescent="0.35">
      <c r="A34" t="s">
        <v>14</v>
      </c>
      <c r="B34" s="1">
        <v>45389</v>
      </c>
      <c r="C34" t="s">
        <v>230</v>
      </c>
      <c r="D34" t="s">
        <v>405</v>
      </c>
      <c r="E34" t="s">
        <v>385</v>
      </c>
      <c r="F34">
        <v>5</v>
      </c>
      <c r="G34" t="s">
        <v>450</v>
      </c>
      <c r="H34" s="2" t="s">
        <v>546</v>
      </c>
      <c r="I34" t="s">
        <v>666</v>
      </c>
      <c r="J34" t="s">
        <v>698</v>
      </c>
      <c r="K34" t="s">
        <v>684</v>
      </c>
      <c r="L34">
        <v>2</v>
      </c>
      <c r="M34">
        <f t="shared" ref="M34:M65" si="2">F:F+11</f>
        <v>16</v>
      </c>
      <c r="N34">
        <f>($M:M-5)</f>
        <v>11</v>
      </c>
      <c r="O34">
        <f t="shared" si="1"/>
        <v>0</v>
      </c>
      <c r="P34" t="s">
        <v>672</v>
      </c>
    </row>
    <row r="35" spans="1:16" x14ac:dyDescent="0.35">
      <c r="A35" t="s">
        <v>15</v>
      </c>
      <c r="B35" s="1">
        <v>43563</v>
      </c>
      <c r="C35" t="s">
        <v>231</v>
      </c>
      <c r="D35" t="s">
        <v>409</v>
      </c>
      <c r="E35" t="s">
        <v>396</v>
      </c>
      <c r="F35">
        <v>5</v>
      </c>
      <c r="G35" t="s">
        <v>451</v>
      </c>
      <c r="H35" s="2" t="s">
        <v>547</v>
      </c>
      <c r="I35" t="s">
        <v>664</v>
      </c>
      <c r="J35" t="s">
        <v>698</v>
      </c>
      <c r="K35" t="s">
        <v>693</v>
      </c>
      <c r="L35">
        <v>12</v>
      </c>
      <c r="M35">
        <f t="shared" si="2"/>
        <v>16</v>
      </c>
      <c r="N35">
        <f>($M:M-5)</f>
        <v>11</v>
      </c>
      <c r="O35">
        <f t="shared" si="1"/>
        <v>0</v>
      </c>
      <c r="P35" t="s">
        <v>672</v>
      </c>
    </row>
    <row r="36" spans="1:16" x14ac:dyDescent="0.35">
      <c r="A36" t="s">
        <v>16</v>
      </c>
      <c r="B36" s="1">
        <v>43564</v>
      </c>
      <c r="C36" t="s">
        <v>232</v>
      </c>
      <c r="D36" t="s">
        <v>400</v>
      </c>
      <c r="E36" t="s">
        <v>386</v>
      </c>
      <c r="F36">
        <v>5</v>
      </c>
      <c r="G36" t="s">
        <v>452</v>
      </c>
      <c r="H36" s="2" t="s">
        <v>548</v>
      </c>
      <c r="I36" t="s">
        <v>666</v>
      </c>
      <c r="J36" t="s">
        <v>699</v>
      </c>
      <c r="L36">
        <v>340</v>
      </c>
      <c r="M36">
        <f t="shared" si="2"/>
        <v>16</v>
      </c>
      <c r="N36">
        <f>($M:M-5)</f>
        <v>11</v>
      </c>
      <c r="O36">
        <f t="shared" si="1"/>
        <v>0</v>
      </c>
      <c r="P36" t="s">
        <v>671</v>
      </c>
    </row>
    <row r="37" spans="1:16" x14ac:dyDescent="0.35">
      <c r="A37" t="s">
        <v>17</v>
      </c>
      <c r="B37" s="1">
        <v>43534</v>
      </c>
      <c r="C37" t="s">
        <v>233</v>
      </c>
      <c r="D37" t="s">
        <v>402</v>
      </c>
      <c r="E37" t="s">
        <v>388</v>
      </c>
      <c r="F37">
        <v>6</v>
      </c>
      <c r="G37" t="s">
        <v>453</v>
      </c>
      <c r="H37" s="2" t="s">
        <v>549</v>
      </c>
      <c r="I37" t="s">
        <v>665</v>
      </c>
      <c r="J37" t="s">
        <v>698</v>
      </c>
      <c r="K37" t="s">
        <v>685</v>
      </c>
      <c r="L37">
        <v>70</v>
      </c>
      <c r="M37">
        <f t="shared" si="2"/>
        <v>17</v>
      </c>
      <c r="N37">
        <f>($M:M-5)</f>
        <v>12</v>
      </c>
      <c r="O37">
        <v>0</v>
      </c>
      <c r="P37" t="s">
        <v>671</v>
      </c>
    </row>
    <row r="38" spans="1:16" x14ac:dyDescent="0.35">
      <c r="A38" t="s">
        <v>18</v>
      </c>
      <c r="B38" s="1">
        <v>43596</v>
      </c>
      <c r="C38" t="s">
        <v>234</v>
      </c>
      <c r="D38" t="s">
        <v>406</v>
      </c>
      <c r="E38" t="s">
        <v>396</v>
      </c>
      <c r="F38">
        <v>1</v>
      </c>
      <c r="G38" t="s">
        <v>454</v>
      </c>
      <c r="H38" s="2" t="s">
        <v>550</v>
      </c>
      <c r="I38" t="s">
        <v>668</v>
      </c>
      <c r="J38" t="s">
        <v>698</v>
      </c>
      <c r="K38" t="s">
        <v>693</v>
      </c>
      <c r="L38">
        <v>12</v>
      </c>
      <c r="M38">
        <f t="shared" si="2"/>
        <v>12</v>
      </c>
      <c r="N38">
        <f>($M:M-5)</f>
        <v>7</v>
      </c>
      <c r="O38">
        <f>M:M-N:N-F:F</f>
        <v>4</v>
      </c>
      <c r="P38" t="s">
        <v>671</v>
      </c>
    </row>
    <row r="39" spans="1:16" x14ac:dyDescent="0.35">
      <c r="A39" t="s">
        <v>19</v>
      </c>
      <c r="B39" s="1">
        <v>43597</v>
      </c>
      <c r="C39" t="s">
        <v>235</v>
      </c>
      <c r="D39" t="s">
        <v>404</v>
      </c>
      <c r="E39" t="s">
        <v>394</v>
      </c>
      <c r="F39">
        <v>7</v>
      </c>
      <c r="G39" t="s">
        <v>455</v>
      </c>
      <c r="H39" s="2" t="s">
        <v>551</v>
      </c>
      <c r="I39" t="s">
        <v>666</v>
      </c>
      <c r="J39" t="s">
        <v>698</v>
      </c>
      <c r="K39" t="s">
        <v>691</v>
      </c>
      <c r="L39">
        <v>23</v>
      </c>
      <c r="M39">
        <f t="shared" si="2"/>
        <v>18</v>
      </c>
      <c r="N39">
        <f>($M:M-5)</f>
        <v>13</v>
      </c>
      <c r="O39">
        <v>0</v>
      </c>
      <c r="P39" t="s">
        <v>671</v>
      </c>
    </row>
    <row r="40" spans="1:16" x14ac:dyDescent="0.35">
      <c r="A40" t="s">
        <v>20</v>
      </c>
      <c r="B40" s="1">
        <v>45059</v>
      </c>
      <c r="C40" t="s">
        <v>236</v>
      </c>
      <c r="D40" t="s">
        <v>409</v>
      </c>
      <c r="E40" t="s">
        <v>396</v>
      </c>
      <c r="F40">
        <v>2</v>
      </c>
      <c r="G40" t="s">
        <v>456</v>
      </c>
      <c r="H40" s="2" t="s">
        <v>552</v>
      </c>
      <c r="I40" t="s">
        <v>667</v>
      </c>
      <c r="J40" t="s">
        <v>698</v>
      </c>
      <c r="K40" t="s">
        <v>693</v>
      </c>
      <c r="L40">
        <v>12</v>
      </c>
      <c r="M40">
        <f t="shared" si="2"/>
        <v>13</v>
      </c>
      <c r="N40">
        <f>($M:M-5)</f>
        <v>8</v>
      </c>
      <c r="O40">
        <f>M:M-N:N-F:F</f>
        <v>3</v>
      </c>
      <c r="P40" t="s">
        <v>671</v>
      </c>
    </row>
    <row r="41" spans="1:16" x14ac:dyDescent="0.35">
      <c r="A41" t="s">
        <v>21</v>
      </c>
      <c r="B41" s="1">
        <v>43752</v>
      </c>
      <c r="C41" t="s">
        <v>237</v>
      </c>
      <c r="D41" t="s">
        <v>410</v>
      </c>
      <c r="E41" t="s">
        <v>385</v>
      </c>
      <c r="F41">
        <v>5</v>
      </c>
      <c r="G41" t="s">
        <v>457</v>
      </c>
      <c r="H41" s="2" t="s">
        <v>553</v>
      </c>
      <c r="I41" t="s">
        <v>665</v>
      </c>
      <c r="J41" t="s">
        <v>698</v>
      </c>
      <c r="K41" t="s">
        <v>688</v>
      </c>
      <c r="L41">
        <v>2</v>
      </c>
      <c r="M41">
        <f t="shared" si="2"/>
        <v>16</v>
      </c>
      <c r="N41">
        <f>($M:M-5)</f>
        <v>11</v>
      </c>
      <c r="O41">
        <f>M:M-N:N-F:F</f>
        <v>0</v>
      </c>
      <c r="P41" t="s">
        <v>671</v>
      </c>
    </row>
    <row r="42" spans="1:16" x14ac:dyDescent="0.35">
      <c r="A42" t="s">
        <v>22</v>
      </c>
      <c r="B42" s="1">
        <v>43631</v>
      </c>
      <c r="C42" t="s">
        <v>238</v>
      </c>
      <c r="D42" t="s">
        <v>411</v>
      </c>
      <c r="E42" t="s">
        <v>391</v>
      </c>
      <c r="F42">
        <v>2</v>
      </c>
      <c r="G42" t="s">
        <v>458</v>
      </c>
      <c r="H42" s="2" t="s">
        <v>554</v>
      </c>
      <c r="I42" t="s">
        <v>665</v>
      </c>
      <c r="J42" t="s">
        <v>698</v>
      </c>
      <c r="K42" t="s">
        <v>689</v>
      </c>
      <c r="L42">
        <v>1</v>
      </c>
      <c r="M42">
        <f t="shared" si="2"/>
        <v>13</v>
      </c>
      <c r="N42">
        <f>($M:M-5)</f>
        <v>8</v>
      </c>
      <c r="O42">
        <f>M:M-N:N-F:F</f>
        <v>3</v>
      </c>
      <c r="P42" t="s">
        <v>672</v>
      </c>
    </row>
    <row r="43" spans="1:16" x14ac:dyDescent="0.35">
      <c r="A43" t="s">
        <v>23</v>
      </c>
      <c r="B43" s="1">
        <v>43632</v>
      </c>
      <c r="C43" t="s">
        <v>245</v>
      </c>
      <c r="D43" t="s">
        <v>405</v>
      </c>
      <c r="E43" t="s">
        <v>385</v>
      </c>
      <c r="F43">
        <v>9</v>
      </c>
      <c r="G43" t="s">
        <v>459</v>
      </c>
      <c r="H43" s="2" t="s">
        <v>555</v>
      </c>
      <c r="I43" t="s">
        <v>669</v>
      </c>
      <c r="J43" t="s">
        <v>698</v>
      </c>
      <c r="K43" t="s">
        <v>688</v>
      </c>
      <c r="L43">
        <v>2</v>
      </c>
      <c r="M43">
        <f t="shared" si="2"/>
        <v>20</v>
      </c>
      <c r="N43">
        <f>($M:M-5)</f>
        <v>15</v>
      </c>
      <c r="O43">
        <v>0</v>
      </c>
      <c r="P43" t="s">
        <v>672</v>
      </c>
    </row>
    <row r="44" spans="1:16" x14ac:dyDescent="0.35">
      <c r="A44" t="s">
        <v>24</v>
      </c>
      <c r="B44" s="1">
        <v>45216</v>
      </c>
      <c r="C44" t="s">
        <v>239</v>
      </c>
      <c r="D44" t="s">
        <v>408</v>
      </c>
      <c r="E44" t="s">
        <v>385</v>
      </c>
      <c r="F44">
        <v>1</v>
      </c>
      <c r="G44" t="s">
        <v>460</v>
      </c>
      <c r="H44" s="2" t="s">
        <v>556</v>
      </c>
      <c r="I44" t="s">
        <v>664</v>
      </c>
      <c r="J44" t="s">
        <v>698</v>
      </c>
      <c r="K44" t="s">
        <v>684</v>
      </c>
      <c r="L44">
        <v>2</v>
      </c>
      <c r="M44">
        <f t="shared" si="2"/>
        <v>12</v>
      </c>
      <c r="N44">
        <f>($M:M-5)</f>
        <v>7</v>
      </c>
      <c r="O44">
        <f>M:M-N:N-F:F</f>
        <v>4</v>
      </c>
      <c r="P44" t="s">
        <v>672</v>
      </c>
    </row>
    <row r="45" spans="1:16" x14ac:dyDescent="0.35">
      <c r="A45" t="s">
        <v>25</v>
      </c>
      <c r="B45" s="1">
        <v>43756</v>
      </c>
      <c r="C45" t="s">
        <v>240</v>
      </c>
      <c r="D45" t="s">
        <v>407</v>
      </c>
      <c r="E45" t="s">
        <v>397</v>
      </c>
      <c r="F45">
        <v>5</v>
      </c>
      <c r="G45" t="s">
        <v>461</v>
      </c>
      <c r="H45" s="2" t="s">
        <v>557</v>
      </c>
      <c r="I45" t="s">
        <v>670</v>
      </c>
      <c r="J45" t="s">
        <v>699</v>
      </c>
      <c r="K45" t="s">
        <v>692</v>
      </c>
      <c r="L45">
        <v>340</v>
      </c>
      <c r="M45">
        <f t="shared" si="2"/>
        <v>16</v>
      </c>
      <c r="N45">
        <f>($M:M-5)</f>
        <v>11</v>
      </c>
      <c r="O45">
        <f>M:M-N:N-F:F</f>
        <v>0</v>
      </c>
      <c r="P45" t="s">
        <v>672</v>
      </c>
    </row>
    <row r="46" spans="1:16" x14ac:dyDescent="0.35">
      <c r="A46" t="s">
        <v>26</v>
      </c>
      <c r="B46" s="1">
        <v>43635</v>
      </c>
      <c r="C46" t="s">
        <v>241</v>
      </c>
      <c r="D46" t="s">
        <v>402</v>
      </c>
      <c r="E46" t="s">
        <v>397</v>
      </c>
      <c r="F46">
        <v>1</v>
      </c>
      <c r="G46" t="s">
        <v>462</v>
      </c>
      <c r="H46" s="2" t="s">
        <v>561</v>
      </c>
      <c r="I46" t="s">
        <v>666</v>
      </c>
      <c r="J46" t="s">
        <v>699</v>
      </c>
      <c r="K46" t="s">
        <v>692</v>
      </c>
      <c r="L46">
        <v>500</v>
      </c>
      <c r="M46">
        <f t="shared" si="2"/>
        <v>12</v>
      </c>
      <c r="N46">
        <f>($M:M-5)</f>
        <v>7</v>
      </c>
      <c r="O46">
        <f>M:M-N:N-F:F</f>
        <v>4</v>
      </c>
      <c r="P46" t="s">
        <v>671</v>
      </c>
    </row>
    <row r="47" spans="1:16" x14ac:dyDescent="0.35">
      <c r="A47" t="s">
        <v>27</v>
      </c>
      <c r="B47" s="1">
        <v>43485</v>
      </c>
      <c r="C47" t="s">
        <v>242</v>
      </c>
      <c r="D47" t="s">
        <v>406</v>
      </c>
      <c r="E47" t="s">
        <v>397</v>
      </c>
      <c r="F47">
        <v>9</v>
      </c>
      <c r="G47" t="s">
        <v>463</v>
      </c>
      <c r="H47" s="2" t="s">
        <v>558</v>
      </c>
      <c r="I47" t="s">
        <v>663</v>
      </c>
      <c r="J47" t="s">
        <v>699</v>
      </c>
      <c r="L47">
        <v>590</v>
      </c>
      <c r="M47">
        <f t="shared" si="2"/>
        <v>20</v>
      </c>
      <c r="N47">
        <f>($M:M-5)</f>
        <v>15</v>
      </c>
      <c r="O47">
        <v>0</v>
      </c>
      <c r="P47" t="s">
        <v>672</v>
      </c>
    </row>
    <row r="48" spans="1:16" x14ac:dyDescent="0.35">
      <c r="A48" t="s">
        <v>28</v>
      </c>
      <c r="B48" s="1">
        <v>43667</v>
      </c>
      <c r="C48" t="s">
        <v>243</v>
      </c>
      <c r="D48" t="s">
        <v>404</v>
      </c>
      <c r="E48" t="s">
        <v>388</v>
      </c>
      <c r="F48">
        <v>1</v>
      </c>
      <c r="G48" t="s">
        <v>464</v>
      </c>
      <c r="H48" s="2" t="s">
        <v>559</v>
      </c>
      <c r="I48" t="s">
        <v>669</v>
      </c>
      <c r="J48" t="s">
        <v>698</v>
      </c>
      <c r="K48" t="s">
        <v>685</v>
      </c>
      <c r="L48">
        <v>70</v>
      </c>
      <c r="M48">
        <f t="shared" si="2"/>
        <v>12</v>
      </c>
      <c r="N48">
        <f>($M:M-5)</f>
        <v>7</v>
      </c>
      <c r="O48">
        <f t="shared" ref="O48:O77" si="3">M:M-N:N-F:F</f>
        <v>4</v>
      </c>
      <c r="P48" t="s">
        <v>671</v>
      </c>
    </row>
    <row r="49" spans="1:16" x14ac:dyDescent="0.35">
      <c r="A49" t="s">
        <v>29</v>
      </c>
      <c r="B49" s="1">
        <v>43668</v>
      </c>
      <c r="C49" t="s">
        <v>244</v>
      </c>
      <c r="D49" t="s">
        <v>409</v>
      </c>
      <c r="E49" t="s">
        <v>386</v>
      </c>
      <c r="F49">
        <v>4</v>
      </c>
      <c r="G49" t="s">
        <v>465</v>
      </c>
      <c r="H49" s="2" t="s">
        <v>560</v>
      </c>
      <c r="I49" t="s">
        <v>670</v>
      </c>
      <c r="J49" t="s">
        <v>698</v>
      </c>
      <c r="L49">
        <v>340</v>
      </c>
      <c r="M49">
        <f t="shared" si="2"/>
        <v>15</v>
      </c>
      <c r="N49">
        <f>($M:M-5)</f>
        <v>10</v>
      </c>
      <c r="O49">
        <f t="shared" si="3"/>
        <v>1</v>
      </c>
      <c r="P49" t="s">
        <v>672</v>
      </c>
    </row>
    <row r="50" spans="1:16" x14ac:dyDescent="0.35">
      <c r="A50" t="s">
        <v>30</v>
      </c>
      <c r="B50" s="1">
        <v>43700</v>
      </c>
      <c r="C50" t="s">
        <v>245</v>
      </c>
      <c r="D50" t="s">
        <v>406</v>
      </c>
      <c r="E50" t="s">
        <v>396</v>
      </c>
      <c r="F50">
        <v>5</v>
      </c>
      <c r="G50" t="s">
        <v>464</v>
      </c>
      <c r="H50" s="2" t="s">
        <v>559</v>
      </c>
      <c r="I50" t="s">
        <v>665</v>
      </c>
      <c r="J50" t="s">
        <v>698</v>
      </c>
      <c r="L50">
        <v>12</v>
      </c>
      <c r="M50">
        <f t="shared" si="2"/>
        <v>16</v>
      </c>
      <c r="N50">
        <f>($M:M-5)</f>
        <v>11</v>
      </c>
      <c r="O50">
        <f t="shared" si="3"/>
        <v>0</v>
      </c>
      <c r="P50" t="s">
        <v>672</v>
      </c>
    </row>
    <row r="51" spans="1:16" x14ac:dyDescent="0.35">
      <c r="A51" t="s">
        <v>31</v>
      </c>
      <c r="B51" s="1">
        <v>43701</v>
      </c>
      <c r="C51" t="s">
        <v>246</v>
      </c>
      <c r="D51" t="s">
        <v>410</v>
      </c>
      <c r="E51" t="s">
        <v>397</v>
      </c>
      <c r="F51">
        <v>2</v>
      </c>
      <c r="G51" t="s">
        <v>466</v>
      </c>
      <c r="H51" s="2" t="s">
        <v>562</v>
      </c>
      <c r="I51" t="s">
        <v>670</v>
      </c>
      <c r="J51" t="s">
        <v>699</v>
      </c>
      <c r="K51" t="s">
        <v>689</v>
      </c>
      <c r="L51">
        <v>340</v>
      </c>
      <c r="M51">
        <f t="shared" si="2"/>
        <v>13</v>
      </c>
      <c r="N51">
        <f>($M:M-5)</f>
        <v>8</v>
      </c>
      <c r="O51">
        <f t="shared" si="3"/>
        <v>3</v>
      </c>
      <c r="P51" t="s">
        <v>672</v>
      </c>
    </row>
    <row r="52" spans="1:16" x14ac:dyDescent="0.35">
      <c r="A52" t="s">
        <v>32</v>
      </c>
      <c r="B52" s="1">
        <v>43702</v>
      </c>
      <c r="C52" t="s">
        <v>247</v>
      </c>
      <c r="D52" t="s">
        <v>407</v>
      </c>
      <c r="E52" t="s">
        <v>394</v>
      </c>
      <c r="F52">
        <v>2</v>
      </c>
      <c r="G52" t="s">
        <v>464</v>
      </c>
      <c r="H52" s="2" t="s">
        <v>559</v>
      </c>
      <c r="I52" t="s">
        <v>667</v>
      </c>
      <c r="J52" t="s">
        <v>698</v>
      </c>
      <c r="K52" t="s">
        <v>692</v>
      </c>
      <c r="L52">
        <v>30</v>
      </c>
      <c r="M52">
        <f t="shared" si="2"/>
        <v>13</v>
      </c>
      <c r="N52">
        <f>($M:M-5)</f>
        <v>8</v>
      </c>
      <c r="O52">
        <f t="shared" si="3"/>
        <v>3</v>
      </c>
      <c r="P52" t="s">
        <v>671</v>
      </c>
    </row>
    <row r="53" spans="1:16" x14ac:dyDescent="0.35">
      <c r="A53" t="s">
        <v>33</v>
      </c>
      <c r="B53" s="1">
        <v>45195</v>
      </c>
      <c r="C53" t="s">
        <v>248</v>
      </c>
      <c r="D53" t="s">
        <v>411</v>
      </c>
      <c r="E53" t="s">
        <v>396</v>
      </c>
      <c r="F53">
        <v>3</v>
      </c>
      <c r="G53" t="s">
        <v>464</v>
      </c>
      <c r="H53" s="2" t="s">
        <v>559</v>
      </c>
      <c r="I53" t="s">
        <v>665</v>
      </c>
      <c r="J53" t="s">
        <v>698</v>
      </c>
      <c r="L53">
        <v>12</v>
      </c>
      <c r="M53">
        <f t="shared" si="2"/>
        <v>14</v>
      </c>
      <c r="N53">
        <f>($M:M-5)</f>
        <v>9</v>
      </c>
      <c r="O53">
        <f t="shared" si="3"/>
        <v>2</v>
      </c>
      <c r="P53" t="s">
        <v>671</v>
      </c>
    </row>
    <row r="54" spans="1:16" x14ac:dyDescent="0.35">
      <c r="A54" t="s">
        <v>34</v>
      </c>
      <c r="B54" s="1">
        <v>43796</v>
      </c>
      <c r="C54" t="s">
        <v>249</v>
      </c>
      <c r="D54" t="s">
        <v>402</v>
      </c>
      <c r="E54" t="s">
        <v>385</v>
      </c>
      <c r="F54">
        <v>2</v>
      </c>
      <c r="G54" t="s">
        <v>463</v>
      </c>
      <c r="H54" s="2" t="s">
        <v>558</v>
      </c>
      <c r="I54" t="s">
        <v>664</v>
      </c>
      <c r="J54" t="s">
        <v>698</v>
      </c>
      <c r="K54" t="s">
        <v>684</v>
      </c>
      <c r="L54">
        <v>2</v>
      </c>
      <c r="M54">
        <f t="shared" si="2"/>
        <v>13</v>
      </c>
      <c r="N54">
        <f>($M:M-5)</f>
        <v>8</v>
      </c>
      <c r="O54">
        <f t="shared" si="3"/>
        <v>3</v>
      </c>
      <c r="P54" t="s">
        <v>671</v>
      </c>
    </row>
    <row r="55" spans="1:16" x14ac:dyDescent="0.35">
      <c r="A55" t="s">
        <v>35</v>
      </c>
      <c r="B55" s="1">
        <v>43827</v>
      </c>
      <c r="C55" t="s">
        <v>250</v>
      </c>
      <c r="D55" t="s">
        <v>405</v>
      </c>
      <c r="E55" t="s">
        <v>385</v>
      </c>
      <c r="F55">
        <v>2</v>
      </c>
      <c r="G55" t="s">
        <v>464</v>
      </c>
      <c r="H55" s="2" t="s">
        <v>559</v>
      </c>
      <c r="I55" t="s">
        <v>666</v>
      </c>
      <c r="J55" t="s">
        <v>698</v>
      </c>
      <c r="K55" t="s">
        <v>684</v>
      </c>
      <c r="L55">
        <v>2</v>
      </c>
      <c r="M55">
        <f t="shared" si="2"/>
        <v>13</v>
      </c>
      <c r="N55">
        <f>($M:M-5)</f>
        <v>8</v>
      </c>
      <c r="O55">
        <f t="shared" si="3"/>
        <v>3</v>
      </c>
      <c r="P55" t="s">
        <v>671</v>
      </c>
    </row>
    <row r="56" spans="1:16" x14ac:dyDescent="0.35">
      <c r="A56" t="s">
        <v>36</v>
      </c>
      <c r="B56" s="1">
        <v>45655</v>
      </c>
      <c r="C56" t="s">
        <v>251</v>
      </c>
      <c r="D56" t="s">
        <v>408</v>
      </c>
      <c r="E56" t="s">
        <v>390</v>
      </c>
      <c r="F56">
        <v>2</v>
      </c>
      <c r="G56" t="s">
        <v>466</v>
      </c>
      <c r="H56" s="2" t="s">
        <v>562</v>
      </c>
      <c r="I56" t="s">
        <v>665</v>
      </c>
      <c r="J56" t="s">
        <v>698</v>
      </c>
      <c r="K56" t="s">
        <v>684</v>
      </c>
      <c r="L56">
        <v>2</v>
      </c>
      <c r="M56">
        <f t="shared" si="2"/>
        <v>13</v>
      </c>
      <c r="N56">
        <f>($M:M-5)</f>
        <v>8</v>
      </c>
      <c r="O56">
        <f t="shared" si="3"/>
        <v>3</v>
      </c>
      <c r="P56" t="s">
        <v>671</v>
      </c>
    </row>
    <row r="57" spans="1:16" x14ac:dyDescent="0.35">
      <c r="A57" t="s">
        <v>37</v>
      </c>
      <c r="B57" s="1">
        <v>43768</v>
      </c>
      <c r="C57" t="s">
        <v>252</v>
      </c>
      <c r="D57" t="s">
        <v>400</v>
      </c>
      <c r="E57" t="s">
        <v>388</v>
      </c>
      <c r="F57">
        <v>2</v>
      </c>
      <c r="G57" t="s">
        <v>465</v>
      </c>
      <c r="H57" s="2" t="s">
        <v>560</v>
      </c>
      <c r="I57" t="s">
        <v>669</v>
      </c>
      <c r="J57" t="s">
        <v>698</v>
      </c>
      <c r="K57" t="s">
        <v>685</v>
      </c>
      <c r="L57">
        <v>70</v>
      </c>
      <c r="M57">
        <f t="shared" si="2"/>
        <v>13</v>
      </c>
      <c r="N57">
        <f>($M:M-5)</f>
        <v>8</v>
      </c>
      <c r="O57">
        <f t="shared" si="3"/>
        <v>3</v>
      </c>
      <c r="P57" t="s">
        <v>671</v>
      </c>
    </row>
    <row r="58" spans="1:16" x14ac:dyDescent="0.35">
      <c r="A58" t="s">
        <v>38</v>
      </c>
      <c r="B58" s="1">
        <v>43616</v>
      </c>
      <c r="C58" t="s">
        <v>253</v>
      </c>
      <c r="D58" t="s">
        <v>407</v>
      </c>
      <c r="E58" t="s">
        <v>386</v>
      </c>
      <c r="F58">
        <v>3</v>
      </c>
      <c r="G58" t="s">
        <v>466</v>
      </c>
      <c r="H58" s="2" t="s">
        <v>562</v>
      </c>
      <c r="I58" t="s">
        <v>667</v>
      </c>
      <c r="J58" t="s">
        <v>699</v>
      </c>
      <c r="K58" t="s">
        <v>694</v>
      </c>
      <c r="L58">
        <v>340</v>
      </c>
      <c r="M58">
        <f t="shared" si="2"/>
        <v>14</v>
      </c>
      <c r="N58">
        <f>($M:M-5)</f>
        <v>9</v>
      </c>
      <c r="O58">
        <f t="shared" si="3"/>
        <v>2</v>
      </c>
      <c r="P58" t="s">
        <v>671</v>
      </c>
    </row>
    <row r="59" spans="1:16" x14ac:dyDescent="0.35">
      <c r="A59" t="s">
        <v>39</v>
      </c>
      <c r="B59" s="1">
        <v>43586</v>
      </c>
      <c r="C59" t="s">
        <v>254</v>
      </c>
      <c r="D59" t="s">
        <v>406</v>
      </c>
      <c r="E59" t="s">
        <v>386</v>
      </c>
      <c r="F59">
        <v>2</v>
      </c>
      <c r="G59" t="s">
        <v>463</v>
      </c>
      <c r="H59" s="2" t="s">
        <v>558</v>
      </c>
      <c r="I59" t="s">
        <v>665</v>
      </c>
      <c r="J59" t="s">
        <v>699</v>
      </c>
      <c r="K59" t="s">
        <v>695</v>
      </c>
      <c r="L59">
        <v>340</v>
      </c>
      <c r="M59">
        <f t="shared" si="2"/>
        <v>13</v>
      </c>
      <c r="N59">
        <f>($M:M-5)</f>
        <v>8</v>
      </c>
      <c r="O59">
        <f t="shared" si="3"/>
        <v>3</v>
      </c>
      <c r="P59" t="s">
        <v>671</v>
      </c>
    </row>
    <row r="60" spans="1:16" x14ac:dyDescent="0.35">
      <c r="A60" t="s">
        <v>40</v>
      </c>
      <c r="B60" s="1">
        <v>45232</v>
      </c>
      <c r="C60" t="s">
        <v>255</v>
      </c>
      <c r="D60" t="s">
        <v>404</v>
      </c>
      <c r="E60" t="s">
        <v>391</v>
      </c>
      <c r="F60">
        <v>2</v>
      </c>
      <c r="G60" t="s">
        <v>464</v>
      </c>
      <c r="H60" s="2" t="s">
        <v>559</v>
      </c>
      <c r="I60" t="s">
        <v>668</v>
      </c>
      <c r="J60" t="s">
        <v>698</v>
      </c>
      <c r="K60" t="s">
        <v>689</v>
      </c>
      <c r="L60">
        <v>1</v>
      </c>
      <c r="M60">
        <f t="shared" si="2"/>
        <v>13</v>
      </c>
      <c r="N60">
        <f>($M:M-5)</f>
        <v>8</v>
      </c>
      <c r="O60">
        <f t="shared" si="3"/>
        <v>3</v>
      </c>
      <c r="P60" t="s">
        <v>672</v>
      </c>
    </row>
    <row r="61" spans="1:16" x14ac:dyDescent="0.35">
      <c r="A61" t="s">
        <v>41</v>
      </c>
      <c r="B61" s="1">
        <v>43772</v>
      </c>
      <c r="C61" t="s">
        <v>256</v>
      </c>
      <c r="D61" t="s">
        <v>410</v>
      </c>
      <c r="E61" t="s">
        <v>386</v>
      </c>
      <c r="F61">
        <v>1</v>
      </c>
      <c r="G61" t="s">
        <v>466</v>
      </c>
      <c r="H61" s="2" t="s">
        <v>562</v>
      </c>
      <c r="I61" t="s">
        <v>666</v>
      </c>
      <c r="J61" t="s">
        <v>699</v>
      </c>
      <c r="K61" t="s">
        <v>695</v>
      </c>
      <c r="L61">
        <v>340</v>
      </c>
      <c r="M61">
        <f t="shared" si="2"/>
        <v>12</v>
      </c>
      <c r="N61">
        <f>($M:M-5)</f>
        <v>7</v>
      </c>
      <c r="O61">
        <f t="shared" si="3"/>
        <v>4</v>
      </c>
      <c r="P61" t="s">
        <v>672</v>
      </c>
    </row>
    <row r="62" spans="1:16" x14ac:dyDescent="0.35">
      <c r="A62" t="s">
        <v>42</v>
      </c>
      <c r="B62" s="1">
        <v>43773</v>
      </c>
      <c r="C62" t="s">
        <v>257</v>
      </c>
      <c r="D62" t="s">
        <v>409</v>
      </c>
      <c r="E62" t="s">
        <v>395</v>
      </c>
      <c r="F62">
        <v>1</v>
      </c>
      <c r="G62" t="s">
        <v>465</v>
      </c>
      <c r="H62" s="2" t="s">
        <v>560</v>
      </c>
      <c r="I62" t="s">
        <v>665</v>
      </c>
      <c r="J62" t="s">
        <v>699</v>
      </c>
      <c r="K62" t="s">
        <v>689</v>
      </c>
      <c r="L62">
        <v>21</v>
      </c>
      <c r="M62">
        <f t="shared" si="2"/>
        <v>12</v>
      </c>
      <c r="N62">
        <f>($M:M-5)</f>
        <v>7</v>
      </c>
      <c r="O62">
        <f t="shared" si="3"/>
        <v>4</v>
      </c>
      <c r="P62" t="s">
        <v>672</v>
      </c>
    </row>
    <row r="63" spans="1:16" x14ac:dyDescent="0.35">
      <c r="A63" t="s">
        <v>43</v>
      </c>
      <c r="B63" s="1">
        <v>43774</v>
      </c>
      <c r="C63" t="s">
        <v>258</v>
      </c>
      <c r="D63" t="s">
        <v>407</v>
      </c>
      <c r="E63" t="s">
        <v>397</v>
      </c>
      <c r="F63">
        <v>1</v>
      </c>
      <c r="G63" t="s">
        <v>464</v>
      </c>
      <c r="H63" s="2" t="s">
        <v>559</v>
      </c>
      <c r="I63" t="s">
        <v>664</v>
      </c>
      <c r="J63" t="s">
        <v>699</v>
      </c>
      <c r="L63">
        <v>500</v>
      </c>
      <c r="M63">
        <f t="shared" si="2"/>
        <v>12</v>
      </c>
      <c r="N63">
        <f>($M:M-5)</f>
        <v>7</v>
      </c>
      <c r="O63">
        <f t="shared" si="3"/>
        <v>4</v>
      </c>
      <c r="P63" t="s">
        <v>672</v>
      </c>
    </row>
    <row r="64" spans="1:16" x14ac:dyDescent="0.35">
      <c r="A64" t="s">
        <v>44</v>
      </c>
      <c r="B64" s="1">
        <v>45236</v>
      </c>
      <c r="C64" t="s">
        <v>254</v>
      </c>
      <c r="D64" t="s">
        <v>402</v>
      </c>
      <c r="E64" t="s">
        <v>385</v>
      </c>
      <c r="F64">
        <v>4</v>
      </c>
      <c r="G64" t="s">
        <v>463</v>
      </c>
      <c r="H64" s="2" t="s">
        <v>558</v>
      </c>
      <c r="I64" t="s">
        <v>667</v>
      </c>
      <c r="J64" t="s">
        <v>698</v>
      </c>
      <c r="K64" t="s">
        <v>684</v>
      </c>
      <c r="L64">
        <v>2</v>
      </c>
      <c r="M64">
        <f t="shared" si="2"/>
        <v>15</v>
      </c>
      <c r="N64">
        <f>($M:M-5)</f>
        <v>10</v>
      </c>
      <c r="O64">
        <f t="shared" si="3"/>
        <v>1</v>
      </c>
      <c r="P64" t="s">
        <v>671</v>
      </c>
    </row>
    <row r="65" spans="1:16" x14ac:dyDescent="0.35">
      <c r="A65" t="s">
        <v>45</v>
      </c>
      <c r="B65" s="1">
        <v>44872</v>
      </c>
      <c r="C65" t="s">
        <v>259</v>
      </c>
      <c r="D65" t="s">
        <v>405</v>
      </c>
      <c r="E65" t="s">
        <v>385</v>
      </c>
      <c r="F65">
        <v>4</v>
      </c>
      <c r="G65" t="s">
        <v>466</v>
      </c>
      <c r="H65" s="2" t="s">
        <v>562</v>
      </c>
      <c r="I65" t="s">
        <v>666</v>
      </c>
      <c r="J65" t="s">
        <v>698</v>
      </c>
      <c r="K65" t="s">
        <v>684</v>
      </c>
      <c r="L65">
        <v>2</v>
      </c>
      <c r="M65">
        <f t="shared" si="2"/>
        <v>15</v>
      </c>
      <c r="N65">
        <f>($M:M-5)</f>
        <v>10</v>
      </c>
      <c r="O65">
        <f t="shared" si="3"/>
        <v>1</v>
      </c>
      <c r="P65" t="s">
        <v>671</v>
      </c>
    </row>
    <row r="66" spans="1:16" x14ac:dyDescent="0.35">
      <c r="A66" t="s">
        <v>46</v>
      </c>
      <c r="B66" s="1">
        <v>43777</v>
      </c>
      <c r="C66" t="s">
        <v>260</v>
      </c>
      <c r="D66" t="s">
        <v>400</v>
      </c>
      <c r="E66" t="s">
        <v>396</v>
      </c>
      <c r="F66">
        <v>3</v>
      </c>
      <c r="G66" t="s">
        <v>465</v>
      </c>
      <c r="H66" s="2" t="s">
        <v>560</v>
      </c>
      <c r="I66" t="s">
        <v>669</v>
      </c>
      <c r="J66" t="s">
        <v>698</v>
      </c>
      <c r="L66">
        <v>12</v>
      </c>
      <c r="M66">
        <f t="shared" ref="M66:M97" si="4">F:F+11</f>
        <v>14</v>
      </c>
      <c r="N66">
        <f>($M:M-5)</f>
        <v>9</v>
      </c>
      <c r="O66">
        <f t="shared" si="3"/>
        <v>2</v>
      </c>
      <c r="P66" t="s">
        <v>671</v>
      </c>
    </row>
    <row r="67" spans="1:16" x14ac:dyDescent="0.35">
      <c r="A67" t="s">
        <v>47</v>
      </c>
      <c r="B67" s="1">
        <v>43655</v>
      </c>
      <c r="C67" t="s">
        <v>261</v>
      </c>
      <c r="D67" t="s">
        <v>408</v>
      </c>
      <c r="E67" t="s">
        <v>394</v>
      </c>
      <c r="F67">
        <v>2</v>
      </c>
      <c r="G67" t="s">
        <v>463</v>
      </c>
      <c r="H67" s="2" t="s">
        <v>558</v>
      </c>
      <c r="I67" t="s">
        <v>668</v>
      </c>
      <c r="J67" t="s">
        <v>698</v>
      </c>
      <c r="K67" t="s">
        <v>689</v>
      </c>
      <c r="L67">
        <v>32</v>
      </c>
      <c r="M67">
        <f t="shared" si="4"/>
        <v>13</v>
      </c>
      <c r="N67">
        <f>($M:M-5)</f>
        <v>8</v>
      </c>
      <c r="O67">
        <f t="shared" si="3"/>
        <v>3</v>
      </c>
      <c r="P67" t="s">
        <v>671</v>
      </c>
    </row>
    <row r="68" spans="1:16" x14ac:dyDescent="0.35">
      <c r="A68" t="s">
        <v>48</v>
      </c>
      <c r="B68" s="1">
        <v>43809</v>
      </c>
      <c r="C68" t="s">
        <v>262</v>
      </c>
      <c r="D68" t="s">
        <v>406</v>
      </c>
      <c r="E68" t="s">
        <v>395</v>
      </c>
      <c r="F68">
        <v>3</v>
      </c>
      <c r="G68" t="s">
        <v>464</v>
      </c>
      <c r="H68" s="2" t="s">
        <v>559</v>
      </c>
      <c r="I68" t="s">
        <v>665</v>
      </c>
      <c r="J68" t="s">
        <v>698</v>
      </c>
      <c r="K68" t="s">
        <v>689</v>
      </c>
      <c r="L68">
        <v>21</v>
      </c>
      <c r="M68">
        <f t="shared" si="4"/>
        <v>14</v>
      </c>
      <c r="N68">
        <f>($M:M-5)</f>
        <v>9</v>
      </c>
      <c r="O68">
        <f t="shared" si="3"/>
        <v>2</v>
      </c>
      <c r="P68" t="s">
        <v>671</v>
      </c>
    </row>
    <row r="69" spans="1:16" x14ac:dyDescent="0.35">
      <c r="A69" t="s">
        <v>49</v>
      </c>
      <c r="B69" s="1">
        <v>43780</v>
      </c>
      <c r="C69" t="s">
        <v>263</v>
      </c>
      <c r="D69" t="s">
        <v>407</v>
      </c>
      <c r="E69" t="s">
        <v>388</v>
      </c>
      <c r="F69">
        <v>2</v>
      </c>
      <c r="G69" t="s">
        <v>465</v>
      </c>
      <c r="H69" s="2" t="s">
        <v>560</v>
      </c>
      <c r="I69" t="s">
        <v>664</v>
      </c>
      <c r="J69" t="s">
        <v>698</v>
      </c>
      <c r="K69" t="s">
        <v>685</v>
      </c>
      <c r="L69">
        <v>70</v>
      </c>
      <c r="M69">
        <f t="shared" si="4"/>
        <v>13</v>
      </c>
      <c r="N69">
        <f>($M:M-5)</f>
        <v>8</v>
      </c>
      <c r="O69">
        <f t="shared" si="3"/>
        <v>3</v>
      </c>
      <c r="P69" t="s">
        <v>671</v>
      </c>
    </row>
    <row r="70" spans="1:16" x14ac:dyDescent="0.35">
      <c r="A70" t="s">
        <v>50</v>
      </c>
      <c r="B70" s="1">
        <v>43781</v>
      </c>
      <c r="C70" t="s">
        <v>264</v>
      </c>
      <c r="D70" t="s">
        <v>410</v>
      </c>
      <c r="E70" t="s">
        <v>385</v>
      </c>
      <c r="F70">
        <v>3</v>
      </c>
      <c r="G70" t="s">
        <v>464</v>
      </c>
      <c r="H70" s="2" t="s">
        <v>559</v>
      </c>
      <c r="I70" t="s">
        <v>667</v>
      </c>
      <c r="J70" t="s">
        <v>698</v>
      </c>
      <c r="K70" t="s">
        <v>684</v>
      </c>
      <c r="L70">
        <v>2</v>
      </c>
      <c r="M70">
        <f t="shared" si="4"/>
        <v>14</v>
      </c>
      <c r="N70">
        <f>($M:M-5)</f>
        <v>9</v>
      </c>
      <c r="O70">
        <f t="shared" si="3"/>
        <v>2</v>
      </c>
      <c r="P70" t="s">
        <v>671</v>
      </c>
    </row>
    <row r="71" spans="1:16" x14ac:dyDescent="0.35">
      <c r="A71" t="s">
        <v>51</v>
      </c>
      <c r="B71" s="1">
        <v>43782</v>
      </c>
      <c r="C71" t="s">
        <v>265</v>
      </c>
      <c r="D71" t="s">
        <v>406</v>
      </c>
      <c r="E71" t="s">
        <v>385</v>
      </c>
      <c r="F71">
        <v>3</v>
      </c>
      <c r="G71" t="s">
        <v>466</v>
      </c>
      <c r="H71" s="2" t="s">
        <v>562</v>
      </c>
      <c r="I71" t="s">
        <v>665</v>
      </c>
      <c r="J71" t="s">
        <v>698</v>
      </c>
      <c r="K71" t="s">
        <v>684</v>
      </c>
      <c r="L71">
        <v>2</v>
      </c>
      <c r="M71">
        <f t="shared" si="4"/>
        <v>14</v>
      </c>
      <c r="N71">
        <f>($M:M-5)</f>
        <v>9</v>
      </c>
      <c r="O71">
        <f t="shared" si="3"/>
        <v>2</v>
      </c>
      <c r="P71" t="s">
        <v>671</v>
      </c>
    </row>
    <row r="72" spans="1:16" x14ac:dyDescent="0.35">
      <c r="A72" t="s">
        <v>52</v>
      </c>
      <c r="B72" s="1">
        <v>43783</v>
      </c>
      <c r="C72" t="s">
        <v>266</v>
      </c>
      <c r="D72" t="s">
        <v>404</v>
      </c>
      <c r="E72" t="s">
        <v>386</v>
      </c>
      <c r="F72">
        <v>3</v>
      </c>
      <c r="G72" t="s">
        <v>464</v>
      </c>
      <c r="H72" s="2" t="s">
        <v>559</v>
      </c>
      <c r="I72" t="s">
        <v>665</v>
      </c>
      <c r="J72" t="s">
        <v>699</v>
      </c>
      <c r="L72">
        <v>340</v>
      </c>
      <c r="M72">
        <f t="shared" si="4"/>
        <v>14</v>
      </c>
      <c r="N72">
        <f>($M:M-5)</f>
        <v>9</v>
      </c>
      <c r="O72">
        <f t="shared" si="3"/>
        <v>2</v>
      </c>
      <c r="P72" t="s">
        <v>671</v>
      </c>
    </row>
    <row r="73" spans="1:16" x14ac:dyDescent="0.35">
      <c r="A73" t="s">
        <v>53</v>
      </c>
      <c r="B73" s="1">
        <v>43784</v>
      </c>
      <c r="C73" t="s">
        <v>267</v>
      </c>
      <c r="D73" t="s">
        <v>402</v>
      </c>
      <c r="E73" t="s">
        <v>386</v>
      </c>
      <c r="F73">
        <v>3</v>
      </c>
      <c r="G73" t="s">
        <v>464</v>
      </c>
      <c r="H73" s="2" t="s">
        <v>559</v>
      </c>
      <c r="I73" t="s">
        <v>667</v>
      </c>
      <c r="J73" t="s">
        <v>699</v>
      </c>
      <c r="L73">
        <v>340</v>
      </c>
      <c r="M73">
        <f t="shared" si="4"/>
        <v>14</v>
      </c>
      <c r="N73">
        <f>($M:M-5)</f>
        <v>9</v>
      </c>
      <c r="O73">
        <f t="shared" si="3"/>
        <v>2</v>
      </c>
      <c r="P73" t="s">
        <v>671</v>
      </c>
    </row>
    <row r="74" spans="1:16" x14ac:dyDescent="0.35">
      <c r="A74" t="s">
        <v>54</v>
      </c>
      <c r="B74" s="1">
        <v>43785</v>
      </c>
      <c r="C74" t="s">
        <v>268</v>
      </c>
      <c r="D74" t="s">
        <v>408</v>
      </c>
      <c r="E74" t="s">
        <v>386</v>
      </c>
      <c r="F74">
        <v>3</v>
      </c>
      <c r="G74" t="s">
        <v>463</v>
      </c>
      <c r="H74" s="2" t="s">
        <v>558</v>
      </c>
      <c r="I74" t="s">
        <v>665</v>
      </c>
      <c r="J74" t="s">
        <v>700</v>
      </c>
      <c r="L74">
        <v>340</v>
      </c>
      <c r="M74">
        <f t="shared" si="4"/>
        <v>14</v>
      </c>
      <c r="N74">
        <f>($M:M-5)</f>
        <v>9</v>
      </c>
      <c r="O74">
        <f t="shared" si="3"/>
        <v>2</v>
      </c>
      <c r="P74" t="s">
        <v>671</v>
      </c>
    </row>
    <row r="75" spans="1:16" x14ac:dyDescent="0.35">
      <c r="A75" t="s">
        <v>55</v>
      </c>
      <c r="B75" s="1">
        <v>43786</v>
      </c>
      <c r="C75" t="s">
        <v>269</v>
      </c>
      <c r="D75" t="s">
        <v>411</v>
      </c>
      <c r="E75" t="s">
        <v>397</v>
      </c>
      <c r="F75">
        <v>3</v>
      </c>
      <c r="G75" t="s">
        <v>464</v>
      </c>
      <c r="H75" s="2" t="s">
        <v>559</v>
      </c>
      <c r="I75" t="s">
        <v>670</v>
      </c>
      <c r="J75" t="s">
        <v>699</v>
      </c>
      <c r="K75" t="s">
        <v>689</v>
      </c>
      <c r="L75">
        <v>500</v>
      </c>
      <c r="M75">
        <f t="shared" si="4"/>
        <v>14</v>
      </c>
      <c r="N75">
        <f>($M:M-5)</f>
        <v>9</v>
      </c>
      <c r="O75">
        <f t="shared" si="3"/>
        <v>2</v>
      </c>
      <c r="P75" t="s">
        <v>671</v>
      </c>
    </row>
    <row r="76" spans="1:16" x14ac:dyDescent="0.35">
      <c r="A76" t="s">
        <v>56</v>
      </c>
      <c r="B76" s="1">
        <v>43695</v>
      </c>
      <c r="C76" t="s">
        <v>270</v>
      </c>
      <c r="D76" t="s">
        <v>412</v>
      </c>
      <c r="E76" t="s">
        <v>385</v>
      </c>
      <c r="F76">
        <v>3</v>
      </c>
      <c r="G76" t="s">
        <v>466</v>
      </c>
      <c r="H76" s="2" t="s">
        <v>562</v>
      </c>
      <c r="I76" t="s">
        <v>668</v>
      </c>
      <c r="J76" t="s">
        <v>698</v>
      </c>
      <c r="K76" t="s">
        <v>684</v>
      </c>
      <c r="L76">
        <v>2</v>
      </c>
      <c r="M76">
        <f t="shared" si="4"/>
        <v>14</v>
      </c>
      <c r="N76">
        <f>($M:M-5)</f>
        <v>9</v>
      </c>
      <c r="O76">
        <f t="shared" si="3"/>
        <v>2</v>
      </c>
      <c r="P76" t="s">
        <v>671</v>
      </c>
    </row>
    <row r="77" spans="1:16" x14ac:dyDescent="0.35">
      <c r="A77" t="s">
        <v>57</v>
      </c>
      <c r="B77" s="1">
        <v>43696</v>
      </c>
      <c r="C77" t="s">
        <v>271</v>
      </c>
      <c r="D77" t="s">
        <v>409</v>
      </c>
      <c r="E77" t="s">
        <v>391</v>
      </c>
      <c r="F77">
        <v>2</v>
      </c>
      <c r="G77" t="s">
        <v>465</v>
      </c>
      <c r="H77" s="2" t="s">
        <v>560</v>
      </c>
      <c r="I77" t="s">
        <v>665</v>
      </c>
      <c r="J77" t="s">
        <v>698</v>
      </c>
      <c r="K77" t="s">
        <v>689</v>
      </c>
      <c r="L77">
        <v>1</v>
      </c>
      <c r="M77">
        <f t="shared" si="4"/>
        <v>13</v>
      </c>
      <c r="N77">
        <f>($M:M-5)</f>
        <v>8</v>
      </c>
      <c r="O77">
        <f t="shared" si="3"/>
        <v>3</v>
      </c>
      <c r="P77" t="s">
        <v>672</v>
      </c>
    </row>
    <row r="78" spans="1:16" x14ac:dyDescent="0.35">
      <c r="A78" t="s">
        <v>58</v>
      </c>
      <c r="B78" s="1">
        <v>44155</v>
      </c>
      <c r="C78" t="s">
        <v>272</v>
      </c>
      <c r="D78" t="s">
        <v>407</v>
      </c>
      <c r="E78" t="s">
        <v>391</v>
      </c>
      <c r="F78">
        <v>6</v>
      </c>
      <c r="G78" t="s">
        <v>466</v>
      </c>
      <c r="H78" s="2" t="s">
        <v>562</v>
      </c>
      <c r="I78" t="s">
        <v>664</v>
      </c>
      <c r="J78" t="s">
        <v>698</v>
      </c>
      <c r="K78" t="s">
        <v>689</v>
      </c>
      <c r="L78">
        <v>1</v>
      </c>
      <c r="M78">
        <f t="shared" si="4"/>
        <v>17</v>
      </c>
      <c r="N78">
        <f>($M:M-5)</f>
        <v>12</v>
      </c>
      <c r="O78">
        <v>0</v>
      </c>
      <c r="P78" t="s">
        <v>672</v>
      </c>
    </row>
    <row r="79" spans="1:16" x14ac:dyDescent="0.35">
      <c r="A79" t="s">
        <v>59</v>
      </c>
      <c r="B79" s="1">
        <v>44064</v>
      </c>
      <c r="C79" t="s">
        <v>273</v>
      </c>
      <c r="D79" t="s">
        <v>400</v>
      </c>
      <c r="E79" t="s">
        <v>391</v>
      </c>
      <c r="F79">
        <v>9</v>
      </c>
      <c r="G79" t="s">
        <v>463</v>
      </c>
      <c r="H79" s="2" t="s">
        <v>558</v>
      </c>
      <c r="I79" t="s">
        <v>665</v>
      </c>
      <c r="J79" t="s">
        <v>698</v>
      </c>
      <c r="K79" t="s">
        <v>689</v>
      </c>
      <c r="L79">
        <v>1</v>
      </c>
      <c r="M79">
        <f t="shared" si="4"/>
        <v>20</v>
      </c>
      <c r="N79">
        <f>($M:M-5)</f>
        <v>15</v>
      </c>
      <c r="O79">
        <v>0</v>
      </c>
      <c r="P79" t="s">
        <v>671</v>
      </c>
    </row>
    <row r="80" spans="1:16" x14ac:dyDescent="0.35">
      <c r="A80" t="s">
        <v>87</v>
      </c>
      <c r="B80" s="1">
        <v>43791</v>
      </c>
      <c r="C80" t="s">
        <v>274</v>
      </c>
      <c r="D80" t="s">
        <v>405</v>
      </c>
      <c r="E80" t="s">
        <v>391</v>
      </c>
      <c r="F80">
        <v>4</v>
      </c>
      <c r="G80" t="s">
        <v>464</v>
      </c>
      <c r="H80" s="2" t="s">
        <v>559</v>
      </c>
      <c r="I80" t="s">
        <v>666</v>
      </c>
      <c r="J80" t="s">
        <v>698</v>
      </c>
      <c r="K80" t="s">
        <v>689</v>
      </c>
      <c r="L80">
        <v>1</v>
      </c>
      <c r="M80">
        <f t="shared" si="4"/>
        <v>15</v>
      </c>
      <c r="N80">
        <f>($M:M-5)</f>
        <v>10</v>
      </c>
      <c r="O80">
        <f>M:M-N:N-F:F</f>
        <v>1</v>
      </c>
      <c r="P80" t="s">
        <v>671</v>
      </c>
    </row>
    <row r="81" spans="1:16" x14ac:dyDescent="0.35">
      <c r="A81" t="s">
        <v>88</v>
      </c>
      <c r="B81" s="1">
        <v>44066</v>
      </c>
      <c r="C81" t="s">
        <v>275</v>
      </c>
      <c r="D81" t="s">
        <v>406</v>
      </c>
      <c r="E81" t="s">
        <v>385</v>
      </c>
      <c r="F81">
        <v>6</v>
      </c>
      <c r="G81" t="s">
        <v>466</v>
      </c>
      <c r="H81" s="2" t="s">
        <v>562</v>
      </c>
      <c r="I81" t="s">
        <v>670</v>
      </c>
      <c r="J81" t="s">
        <v>698</v>
      </c>
      <c r="K81" t="s">
        <v>684</v>
      </c>
      <c r="L81">
        <v>2</v>
      </c>
      <c r="M81">
        <f t="shared" si="4"/>
        <v>17</v>
      </c>
      <c r="N81">
        <f>($M:M-5)</f>
        <v>12</v>
      </c>
      <c r="O81">
        <v>0</v>
      </c>
      <c r="P81" t="s">
        <v>671</v>
      </c>
    </row>
    <row r="82" spans="1:16" x14ac:dyDescent="0.35">
      <c r="A82" t="s">
        <v>89</v>
      </c>
      <c r="B82" s="1">
        <v>43793</v>
      </c>
      <c r="C82" t="s">
        <v>276</v>
      </c>
      <c r="D82" t="s">
        <v>408</v>
      </c>
      <c r="E82" t="s">
        <v>386</v>
      </c>
      <c r="F82">
        <v>8</v>
      </c>
      <c r="G82" t="s">
        <v>465</v>
      </c>
      <c r="H82" s="2" t="s">
        <v>560</v>
      </c>
      <c r="I82" t="s">
        <v>669</v>
      </c>
      <c r="J82" t="s">
        <v>699</v>
      </c>
      <c r="L82">
        <v>340</v>
      </c>
      <c r="M82">
        <f t="shared" si="4"/>
        <v>19</v>
      </c>
      <c r="N82">
        <f>($M:M-5)</f>
        <v>14</v>
      </c>
      <c r="O82">
        <v>0</v>
      </c>
      <c r="P82" t="s">
        <v>672</v>
      </c>
    </row>
    <row r="83" spans="1:16" x14ac:dyDescent="0.35">
      <c r="A83" t="s">
        <v>90</v>
      </c>
      <c r="B83" s="1">
        <v>43794</v>
      </c>
      <c r="C83" t="s">
        <v>277</v>
      </c>
      <c r="D83" t="s">
        <v>411</v>
      </c>
      <c r="E83" t="s">
        <v>386</v>
      </c>
      <c r="F83">
        <v>4</v>
      </c>
      <c r="G83" t="s">
        <v>464</v>
      </c>
      <c r="H83" s="2" t="s">
        <v>559</v>
      </c>
      <c r="I83" t="s">
        <v>668</v>
      </c>
      <c r="J83" t="s">
        <v>699</v>
      </c>
      <c r="L83">
        <v>340</v>
      </c>
      <c r="M83">
        <f t="shared" si="4"/>
        <v>15</v>
      </c>
      <c r="N83">
        <f>($M:M-5)</f>
        <v>10</v>
      </c>
      <c r="O83">
        <f>M:M-N:N-F:F</f>
        <v>1</v>
      </c>
      <c r="P83" t="s">
        <v>671</v>
      </c>
    </row>
    <row r="84" spans="1:16" x14ac:dyDescent="0.35">
      <c r="A84" t="s">
        <v>91</v>
      </c>
      <c r="B84" s="1">
        <v>43795</v>
      </c>
      <c r="C84" t="s">
        <v>278</v>
      </c>
      <c r="D84" t="s">
        <v>404</v>
      </c>
      <c r="E84" t="s">
        <v>397</v>
      </c>
      <c r="F84">
        <v>5</v>
      </c>
      <c r="G84" t="s">
        <v>463</v>
      </c>
      <c r="H84" s="2" t="s">
        <v>558</v>
      </c>
      <c r="I84" t="s">
        <v>666</v>
      </c>
      <c r="J84" t="s">
        <v>699</v>
      </c>
      <c r="K84" t="s">
        <v>689</v>
      </c>
      <c r="L84">
        <v>500</v>
      </c>
      <c r="M84">
        <f t="shared" si="4"/>
        <v>16</v>
      </c>
      <c r="N84">
        <f>($M:M-5)</f>
        <v>11</v>
      </c>
      <c r="O84">
        <f>M:M-N:N-F:F</f>
        <v>0</v>
      </c>
      <c r="P84" t="s">
        <v>672</v>
      </c>
    </row>
    <row r="85" spans="1:16" x14ac:dyDescent="0.35">
      <c r="A85" t="s">
        <v>92</v>
      </c>
      <c r="B85" s="1">
        <v>43796</v>
      </c>
      <c r="C85" t="s">
        <v>279</v>
      </c>
      <c r="D85" t="s">
        <v>410</v>
      </c>
      <c r="E85" t="s">
        <v>395</v>
      </c>
      <c r="F85">
        <v>3</v>
      </c>
      <c r="G85" t="s">
        <v>466</v>
      </c>
      <c r="H85" s="2" t="s">
        <v>562</v>
      </c>
      <c r="I85" t="s">
        <v>665</v>
      </c>
      <c r="J85" t="s">
        <v>699</v>
      </c>
      <c r="K85" t="s">
        <v>689</v>
      </c>
      <c r="L85">
        <v>32</v>
      </c>
      <c r="M85">
        <f t="shared" si="4"/>
        <v>14</v>
      </c>
      <c r="N85">
        <f>($M:M-5)</f>
        <v>9</v>
      </c>
      <c r="O85">
        <f>M:M-N:N-F:F</f>
        <v>2</v>
      </c>
      <c r="P85" t="s">
        <v>671</v>
      </c>
    </row>
    <row r="86" spans="1:16" x14ac:dyDescent="0.35">
      <c r="A86" t="s">
        <v>93</v>
      </c>
      <c r="B86" s="1">
        <v>43797</v>
      </c>
      <c r="C86" t="s">
        <v>280</v>
      </c>
      <c r="D86" t="s">
        <v>409</v>
      </c>
      <c r="E86" t="s">
        <v>386</v>
      </c>
      <c r="F86">
        <v>6</v>
      </c>
      <c r="G86" t="s">
        <v>467</v>
      </c>
      <c r="H86" s="2" t="s">
        <v>563</v>
      </c>
      <c r="I86" t="s">
        <v>667</v>
      </c>
      <c r="J86" t="s">
        <v>699</v>
      </c>
      <c r="L86">
        <v>340</v>
      </c>
      <c r="M86">
        <f t="shared" si="4"/>
        <v>17</v>
      </c>
      <c r="N86">
        <f>($M:M-5)</f>
        <v>12</v>
      </c>
      <c r="O86">
        <v>0</v>
      </c>
      <c r="P86" t="s">
        <v>671</v>
      </c>
    </row>
    <row r="87" spans="1:16" x14ac:dyDescent="0.35">
      <c r="A87" t="s">
        <v>94</v>
      </c>
      <c r="B87" s="1">
        <v>43798</v>
      </c>
      <c r="C87" t="s">
        <v>281</v>
      </c>
      <c r="D87" t="s">
        <v>407</v>
      </c>
      <c r="E87" t="s">
        <v>386</v>
      </c>
      <c r="F87">
        <v>3</v>
      </c>
      <c r="G87" t="s">
        <v>467</v>
      </c>
      <c r="H87" s="2" t="s">
        <v>563</v>
      </c>
      <c r="I87" t="s">
        <v>665</v>
      </c>
      <c r="J87" t="s">
        <v>699</v>
      </c>
      <c r="L87">
        <v>340</v>
      </c>
      <c r="M87">
        <f t="shared" si="4"/>
        <v>14</v>
      </c>
      <c r="N87">
        <f>($M:M-5)</f>
        <v>9</v>
      </c>
      <c r="O87">
        <f>M:M-N:N-F:F</f>
        <v>2</v>
      </c>
      <c r="P87" t="s">
        <v>671</v>
      </c>
    </row>
    <row r="88" spans="1:16" x14ac:dyDescent="0.35">
      <c r="A88" t="s">
        <v>95</v>
      </c>
      <c r="B88" s="1">
        <v>43799</v>
      </c>
      <c r="C88" t="s">
        <v>282</v>
      </c>
      <c r="D88" t="s">
        <v>411</v>
      </c>
      <c r="E88" t="s">
        <v>391</v>
      </c>
      <c r="F88">
        <v>5</v>
      </c>
      <c r="G88" t="s">
        <v>468</v>
      </c>
      <c r="H88" s="2" t="s">
        <v>564</v>
      </c>
      <c r="I88" t="s">
        <v>664</v>
      </c>
      <c r="J88" t="s">
        <v>698</v>
      </c>
      <c r="K88" t="s">
        <v>689</v>
      </c>
      <c r="L88">
        <v>1</v>
      </c>
      <c r="M88">
        <f t="shared" si="4"/>
        <v>16</v>
      </c>
      <c r="N88">
        <f>($M:M-5)</f>
        <v>11</v>
      </c>
      <c r="O88">
        <f>M:M-N:N-F:F</f>
        <v>0</v>
      </c>
      <c r="P88" t="s">
        <v>671</v>
      </c>
    </row>
    <row r="89" spans="1:16" x14ac:dyDescent="0.35">
      <c r="A89" t="s">
        <v>96</v>
      </c>
      <c r="B89" s="1">
        <v>44044</v>
      </c>
      <c r="C89" t="s">
        <v>283</v>
      </c>
      <c r="D89" t="s">
        <v>405</v>
      </c>
      <c r="E89" t="s">
        <v>394</v>
      </c>
      <c r="F89">
        <v>5</v>
      </c>
      <c r="G89" t="s">
        <v>467</v>
      </c>
      <c r="H89" s="2" t="s">
        <v>563</v>
      </c>
      <c r="I89" t="s">
        <v>665</v>
      </c>
      <c r="J89" t="s">
        <v>698</v>
      </c>
      <c r="L89">
        <v>32</v>
      </c>
      <c r="M89">
        <f t="shared" si="4"/>
        <v>16</v>
      </c>
      <c r="N89">
        <f>($M:M-5)</f>
        <v>11</v>
      </c>
      <c r="O89">
        <f>M:M-N:N-F:F</f>
        <v>0</v>
      </c>
      <c r="P89" t="s">
        <v>671</v>
      </c>
    </row>
    <row r="90" spans="1:16" x14ac:dyDescent="0.35">
      <c r="A90" t="s">
        <v>97</v>
      </c>
      <c r="B90" s="1">
        <v>43801</v>
      </c>
      <c r="C90" t="s">
        <v>284</v>
      </c>
      <c r="D90" t="s">
        <v>408</v>
      </c>
      <c r="E90" t="s">
        <v>388</v>
      </c>
      <c r="F90">
        <v>8</v>
      </c>
      <c r="G90" t="s">
        <v>469</v>
      </c>
      <c r="H90" s="2" t="s">
        <v>565</v>
      </c>
      <c r="I90" t="s">
        <v>668</v>
      </c>
      <c r="J90" t="s">
        <v>698</v>
      </c>
      <c r="K90" t="s">
        <v>685</v>
      </c>
      <c r="L90">
        <v>70</v>
      </c>
      <c r="M90">
        <f t="shared" si="4"/>
        <v>19</v>
      </c>
      <c r="N90">
        <f>($M:M-5)</f>
        <v>14</v>
      </c>
      <c r="O90">
        <v>0</v>
      </c>
      <c r="P90" t="s">
        <v>671</v>
      </c>
    </row>
    <row r="91" spans="1:16" x14ac:dyDescent="0.35">
      <c r="A91" t="s">
        <v>98</v>
      </c>
      <c r="B91" s="1">
        <v>43802</v>
      </c>
      <c r="C91" t="s">
        <v>285</v>
      </c>
      <c r="D91" t="s">
        <v>402</v>
      </c>
      <c r="E91" t="s">
        <v>396</v>
      </c>
      <c r="F91">
        <v>2</v>
      </c>
      <c r="G91" t="s">
        <v>470</v>
      </c>
      <c r="H91" s="2" t="s">
        <v>566</v>
      </c>
      <c r="I91" t="s">
        <v>665</v>
      </c>
      <c r="J91" t="s">
        <v>698</v>
      </c>
      <c r="K91" t="s">
        <v>689</v>
      </c>
      <c r="L91">
        <v>12</v>
      </c>
      <c r="M91">
        <f t="shared" si="4"/>
        <v>13</v>
      </c>
      <c r="N91">
        <f>($M:M-5)</f>
        <v>8</v>
      </c>
      <c r="O91">
        <f>M:M-N:N-F:F</f>
        <v>3</v>
      </c>
      <c r="P91" t="s">
        <v>671</v>
      </c>
    </row>
    <row r="92" spans="1:16" x14ac:dyDescent="0.35">
      <c r="A92" t="s">
        <v>99</v>
      </c>
      <c r="B92" s="1">
        <v>43803</v>
      </c>
      <c r="C92" t="s">
        <v>286</v>
      </c>
      <c r="D92" t="s">
        <v>410</v>
      </c>
      <c r="E92" t="s">
        <v>386</v>
      </c>
      <c r="F92">
        <v>9</v>
      </c>
      <c r="G92" t="s">
        <v>469</v>
      </c>
      <c r="H92" s="2" t="s">
        <v>565</v>
      </c>
      <c r="I92" t="s">
        <v>665</v>
      </c>
      <c r="J92" t="s">
        <v>699</v>
      </c>
      <c r="L92">
        <v>340</v>
      </c>
      <c r="M92">
        <f t="shared" si="4"/>
        <v>20</v>
      </c>
      <c r="N92">
        <f>($M:M-5)</f>
        <v>15</v>
      </c>
      <c r="O92">
        <v>0</v>
      </c>
      <c r="P92" t="s">
        <v>671</v>
      </c>
    </row>
    <row r="93" spans="1:16" x14ac:dyDescent="0.35">
      <c r="A93" t="s">
        <v>100</v>
      </c>
      <c r="B93" s="1">
        <v>43804</v>
      </c>
      <c r="C93" t="s">
        <v>287</v>
      </c>
      <c r="D93" t="s">
        <v>404</v>
      </c>
      <c r="E93" t="s">
        <v>385</v>
      </c>
      <c r="F93">
        <v>1</v>
      </c>
      <c r="G93" t="s">
        <v>468</v>
      </c>
      <c r="H93" s="2" t="s">
        <v>564</v>
      </c>
      <c r="I93" t="s">
        <v>668</v>
      </c>
      <c r="J93" t="s">
        <v>698</v>
      </c>
      <c r="K93" t="s">
        <v>684</v>
      </c>
      <c r="L93">
        <v>2</v>
      </c>
      <c r="M93">
        <f t="shared" si="4"/>
        <v>12</v>
      </c>
      <c r="N93">
        <f>($M:M-5)</f>
        <v>7</v>
      </c>
      <c r="O93">
        <f>M:M-N:N-F:F</f>
        <v>4</v>
      </c>
      <c r="P93" t="s">
        <v>672</v>
      </c>
    </row>
    <row r="94" spans="1:16" x14ac:dyDescent="0.35">
      <c r="A94" t="s">
        <v>101</v>
      </c>
      <c r="B94" s="1">
        <v>43805</v>
      </c>
      <c r="C94" t="s">
        <v>288</v>
      </c>
      <c r="D94" t="s">
        <v>400</v>
      </c>
      <c r="E94" t="s">
        <v>397</v>
      </c>
      <c r="F94">
        <v>6</v>
      </c>
      <c r="G94" t="s">
        <v>467</v>
      </c>
      <c r="H94" s="2" t="s">
        <v>563</v>
      </c>
      <c r="I94" t="s">
        <v>666</v>
      </c>
      <c r="J94" t="s">
        <v>699</v>
      </c>
      <c r="K94" t="s">
        <v>689</v>
      </c>
      <c r="L94">
        <v>500</v>
      </c>
      <c r="M94">
        <f t="shared" si="4"/>
        <v>17</v>
      </c>
      <c r="N94">
        <f>($M:M-5)</f>
        <v>12</v>
      </c>
      <c r="O94">
        <v>0</v>
      </c>
      <c r="P94" t="s">
        <v>672</v>
      </c>
    </row>
    <row r="95" spans="1:16" x14ac:dyDescent="0.35">
      <c r="A95" t="s">
        <v>102</v>
      </c>
      <c r="B95" s="1">
        <v>43806</v>
      </c>
      <c r="C95" t="s">
        <v>289</v>
      </c>
      <c r="D95" t="s">
        <v>407</v>
      </c>
      <c r="E95" t="s">
        <v>386</v>
      </c>
      <c r="F95">
        <v>1</v>
      </c>
      <c r="G95" t="s">
        <v>469</v>
      </c>
      <c r="H95" s="2" t="s">
        <v>565</v>
      </c>
      <c r="I95" t="s">
        <v>664</v>
      </c>
      <c r="J95" t="s">
        <v>699</v>
      </c>
      <c r="L95">
        <v>349</v>
      </c>
      <c r="M95">
        <f t="shared" si="4"/>
        <v>12</v>
      </c>
      <c r="N95">
        <f>($M:M-5)</f>
        <v>7</v>
      </c>
      <c r="O95">
        <f>M:M-N:N-F:F</f>
        <v>4</v>
      </c>
      <c r="P95" t="s">
        <v>672</v>
      </c>
    </row>
    <row r="96" spans="1:16" x14ac:dyDescent="0.35">
      <c r="A96" t="s">
        <v>103</v>
      </c>
      <c r="B96" s="1">
        <v>43807</v>
      </c>
      <c r="C96" t="s">
        <v>290</v>
      </c>
      <c r="D96" t="s">
        <v>404</v>
      </c>
      <c r="E96" t="s">
        <v>396</v>
      </c>
      <c r="F96">
        <v>8</v>
      </c>
      <c r="G96" t="s">
        <v>470</v>
      </c>
      <c r="H96" s="2" t="s">
        <v>566</v>
      </c>
      <c r="I96" t="s">
        <v>668</v>
      </c>
      <c r="J96" t="s">
        <v>698</v>
      </c>
      <c r="K96" t="s">
        <v>689</v>
      </c>
      <c r="L96">
        <v>12</v>
      </c>
      <c r="M96">
        <f t="shared" si="4"/>
        <v>19</v>
      </c>
      <c r="N96">
        <f>($M:M-5)</f>
        <v>14</v>
      </c>
      <c r="O96">
        <v>0</v>
      </c>
      <c r="P96" t="s">
        <v>672</v>
      </c>
    </row>
    <row r="97" spans="1:16" x14ac:dyDescent="0.35">
      <c r="A97" t="s">
        <v>104</v>
      </c>
      <c r="B97" s="1">
        <v>43808</v>
      </c>
      <c r="C97" t="s">
        <v>291</v>
      </c>
      <c r="D97" t="s">
        <v>409</v>
      </c>
      <c r="E97" t="s">
        <v>396</v>
      </c>
      <c r="F97">
        <v>2</v>
      </c>
      <c r="G97" t="s">
        <v>467</v>
      </c>
      <c r="H97" s="2" t="s">
        <v>563</v>
      </c>
      <c r="I97" t="s">
        <v>663</v>
      </c>
      <c r="J97" t="s">
        <v>698</v>
      </c>
      <c r="K97" t="s">
        <v>689</v>
      </c>
      <c r="L97">
        <v>12</v>
      </c>
      <c r="M97">
        <f t="shared" si="4"/>
        <v>13</v>
      </c>
      <c r="N97">
        <f>($M:M-5)</f>
        <v>8</v>
      </c>
      <c r="O97">
        <f>M:M-N:N-F:F</f>
        <v>3</v>
      </c>
      <c r="P97" t="s">
        <v>672</v>
      </c>
    </row>
    <row r="98" spans="1:16" x14ac:dyDescent="0.35">
      <c r="A98" t="s">
        <v>105</v>
      </c>
      <c r="B98" s="1">
        <v>43809</v>
      </c>
      <c r="C98" t="s">
        <v>292</v>
      </c>
      <c r="D98" t="s">
        <v>408</v>
      </c>
      <c r="E98" t="s">
        <v>386</v>
      </c>
      <c r="F98">
        <v>9</v>
      </c>
      <c r="G98" t="s">
        <v>468</v>
      </c>
      <c r="H98" s="2" t="s">
        <v>564</v>
      </c>
      <c r="I98" t="s">
        <v>664</v>
      </c>
      <c r="J98" t="s">
        <v>699</v>
      </c>
      <c r="L98">
        <v>356</v>
      </c>
      <c r="M98">
        <f t="shared" ref="M98:M129" si="5">F:F+11</f>
        <v>20</v>
      </c>
      <c r="N98">
        <f>($M:M-5)</f>
        <v>15</v>
      </c>
      <c r="O98">
        <v>0</v>
      </c>
      <c r="P98" t="s">
        <v>672</v>
      </c>
    </row>
    <row r="99" spans="1:16" x14ac:dyDescent="0.35">
      <c r="A99" t="s">
        <v>106</v>
      </c>
      <c r="B99" s="1">
        <v>44541</v>
      </c>
      <c r="C99" t="s">
        <v>293</v>
      </c>
      <c r="D99" t="s">
        <v>407</v>
      </c>
      <c r="E99" t="s">
        <v>396</v>
      </c>
      <c r="F99">
        <v>3</v>
      </c>
      <c r="G99" t="s">
        <v>469</v>
      </c>
      <c r="H99" s="2" t="s">
        <v>565</v>
      </c>
      <c r="I99" t="s">
        <v>670</v>
      </c>
      <c r="J99" t="s">
        <v>698</v>
      </c>
      <c r="K99" t="s">
        <v>689</v>
      </c>
      <c r="L99">
        <v>12</v>
      </c>
      <c r="M99">
        <f t="shared" si="5"/>
        <v>14</v>
      </c>
      <c r="N99">
        <f>($M:M-5)</f>
        <v>9</v>
      </c>
      <c r="O99">
        <f>M:M-N:N-F:F</f>
        <v>2</v>
      </c>
      <c r="P99" t="s">
        <v>672</v>
      </c>
    </row>
    <row r="100" spans="1:16" x14ac:dyDescent="0.35">
      <c r="A100" t="s">
        <v>107</v>
      </c>
      <c r="B100" s="1">
        <v>43811</v>
      </c>
      <c r="C100" t="s">
        <v>294</v>
      </c>
      <c r="D100" t="s">
        <v>402</v>
      </c>
      <c r="E100" t="s">
        <v>391</v>
      </c>
      <c r="F100">
        <v>7</v>
      </c>
      <c r="G100" t="s">
        <v>419</v>
      </c>
      <c r="H100" s="2" t="s">
        <v>567</v>
      </c>
      <c r="I100" t="s">
        <v>669</v>
      </c>
      <c r="J100" t="s">
        <v>698</v>
      </c>
      <c r="K100" t="s">
        <v>689</v>
      </c>
      <c r="L100">
        <v>1</v>
      </c>
      <c r="M100">
        <f t="shared" si="5"/>
        <v>18</v>
      </c>
      <c r="N100">
        <f>($M:M-5)</f>
        <v>13</v>
      </c>
      <c r="O100">
        <v>0</v>
      </c>
      <c r="P100" t="s">
        <v>672</v>
      </c>
    </row>
    <row r="101" spans="1:16" x14ac:dyDescent="0.35">
      <c r="A101" t="s">
        <v>108</v>
      </c>
      <c r="B101" s="1">
        <v>43812</v>
      </c>
      <c r="C101" t="s">
        <v>295</v>
      </c>
      <c r="D101" t="s">
        <v>405</v>
      </c>
      <c r="E101" t="s">
        <v>386</v>
      </c>
      <c r="F101">
        <v>2</v>
      </c>
      <c r="G101" t="s">
        <v>420</v>
      </c>
      <c r="H101" s="2" t="s">
        <v>568</v>
      </c>
      <c r="I101" t="s">
        <v>667</v>
      </c>
      <c r="J101" t="s">
        <v>699</v>
      </c>
      <c r="L101">
        <v>345</v>
      </c>
      <c r="M101">
        <f t="shared" si="5"/>
        <v>13</v>
      </c>
      <c r="N101">
        <f>($M:M-5)</f>
        <v>8</v>
      </c>
      <c r="O101">
        <f>M:M-N:N-F:F</f>
        <v>3</v>
      </c>
      <c r="P101" t="s">
        <v>672</v>
      </c>
    </row>
    <row r="102" spans="1:16" x14ac:dyDescent="0.35">
      <c r="A102" t="s">
        <v>109</v>
      </c>
      <c r="B102" s="1">
        <v>43813</v>
      </c>
      <c r="C102" t="s">
        <v>296</v>
      </c>
      <c r="D102" t="s">
        <v>406</v>
      </c>
      <c r="E102" t="s">
        <v>397</v>
      </c>
      <c r="F102">
        <v>7</v>
      </c>
      <c r="G102" t="s">
        <v>421</v>
      </c>
      <c r="H102" s="2" t="s">
        <v>569</v>
      </c>
      <c r="I102" t="s">
        <v>665</v>
      </c>
      <c r="J102" t="s">
        <v>699</v>
      </c>
      <c r="K102" t="s">
        <v>689</v>
      </c>
      <c r="L102">
        <v>500</v>
      </c>
      <c r="M102">
        <f t="shared" si="5"/>
        <v>18</v>
      </c>
      <c r="N102">
        <f>($M:M-5)</f>
        <v>13</v>
      </c>
      <c r="O102">
        <v>0</v>
      </c>
      <c r="P102" t="s">
        <v>672</v>
      </c>
    </row>
    <row r="103" spans="1:16" x14ac:dyDescent="0.35">
      <c r="A103" t="s">
        <v>110</v>
      </c>
      <c r="B103" s="1">
        <v>43814</v>
      </c>
      <c r="C103" t="s">
        <v>297</v>
      </c>
      <c r="D103" t="s">
        <v>411</v>
      </c>
      <c r="E103" t="s">
        <v>386</v>
      </c>
      <c r="F103">
        <v>3</v>
      </c>
      <c r="G103" t="s">
        <v>422</v>
      </c>
      <c r="H103" s="2" t="s">
        <v>570</v>
      </c>
      <c r="I103" t="s">
        <v>666</v>
      </c>
      <c r="J103" t="s">
        <v>699</v>
      </c>
      <c r="L103">
        <v>456</v>
      </c>
      <c r="M103">
        <f t="shared" si="5"/>
        <v>14</v>
      </c>
      <c r="N103">
        <f>($M:M-5)</f>
        <v>9</v>
      </c>
      <c r="O103">
        <f>M:M-N:N-F:F</f>
        <v>2</v>
      </c>
      <c r="P103" t="s">
        <v>671</v>
      </c>
    </row>
    <row r="104" spans="1:16" x14ac:dyDescent="0.35">
      <c r="A104" t="s">
        <v>111</v>
      </c>
      <c r="B104" s="1">
        <v>44546</v>
      </c>
      <c r="C104" t="s">
        <v>298</v>
      </c>
      <c r="D104" t="s">
        <v>410</v>
      </c>
      <c r="E104" t="s">
        <v>394</v>
      </c>
      <c r="F104">
        <v>5</v>
      </c>
      <c r="G104" t="s">
        <v>423</v>
      </c>
      <c r="H104" s="2" t="s">
        <v>571</v>
      </c>
      <c r="I104" t="s">
        <v>664</v>
      </c>
      <c r="J104" t="s">
        <v>698</v>
      </c>
      <c r="K104" t="s">
        <v>689</v>
      </c>
      <c r="L104">
        <v>32</v>
      </c>
      <c r="M104">
        <f t="shared" si="5"/>
        <v>16</v>
      </c>
      <c r="N104">
        <f>($M:M-5)</f>
        <v>11</v>
      </c>
      <c r="O104">
        <f>M:M-N:N-F:F</f>
        <v>0</v>
      </c>
      <c r="P104" t="s">
        <v>671</v>
      </c>
    </row>
    <row r="105" spans="1:16" x14ac:dyDescent="0.35">
      <c r="A105" t="s">
        <v>112</v>
      </c>
      <c r="B105" s="1">
        <v>43816</v>
      </c>
      <c r="C105" t="s">
        <v>299</v>
      </c>
      <c r="D105" t="s">
        <v>404</v>
      </c>
      <c r="E105" t="s">
        <v>388</v>
      </c>
      <c r="F105">
        <v>2</v>
      </c>
      <c r="G105" t="s">
        <v>424</v>
      </c>
      <c r="H105" s="2" t="s">
        <v>572</v>
      </c>
      <c r="I105" t="s">
        <v>668</v>
      </c>
      <c r="J105" t="s">
        <v>698</v>
      </c>
      <c r="K105" t="s">
        <v>685</v>
      </c>
      <c r="L105">
        <v>70</v>
      </c>
      <c r="M105">
        <f t="shared" si="5"/>
        <v>13</v>
      </c>
      <c r="N105">
        <f>($M:M-5)</f>
        <v>8</v>
      </c>
      <c r="O105">
        <f>M:M-N:N-F:F</f>
        <v>3</v>
      </c>
      <c r="P105" t="s">
        <v>671</v>
      </c>
    </row>
    <row r="106" spans="1:16" x14ac:dyDescent="0.35">
      <c r="A106" t="s">
        <v>113</v>
      </c>
      <c r="B106" s="1">
        <v>43817</v>
      </c>
      <c r="C106" t="s">
        <v>300</v>
      </c>
      <c r="D106" t="s">
        <v>400</v>
      </c>
      <c r="E106" t="s">
        <v>386</v>
      </c>
      <c r="F106">
        <v>8</v>
      </c>
      <c r="G106" t="s">
        <v>425</v>
      </c>
      <c r="H106" s="2" t="s">
        <v>573</v>
      </c>
      <c r="I106" t="s">
        <v>666</v>
      </c>
      <c r="J106" t="s">
        <v>699</v>
      </c>
      <c r="L106">
        <v>345</v>
      </c>
      <c r="M106">
        <f t="shared" si="5"/>
        <v>19</v>
      </c>
      <c r="N106">
        <f>($M:M-5)</f>
        <v>14</v>
      </c>
      <c r="O106">
        <v>0</v>
      </c>
      <c r="P106" t="s">
        <v>672</v>
      </c>
    </row>
    <row r="107" spans="1:16" x14ac:dyDescent="0.35">
      <c r="A107" t="s">
        <v>114</v>
      </c>
      <c r="B107" s="1">
        <v>43818</v>
      </c>
      <c r="C107" t="s">
        <v>301</v>
      </c>
      <c r="D107" t="s">
        <v>408</v>
      </c>
      <c r="E107" t="s">
        <v>397</v>
      </c>
      <c r="F107">
        <v>8</v>
      </c>
      <c r="G107" t="s">
        <v>426</v>
      </c>
      <c r="H107" s="2" t="s">
        <v>574</v>
      </c>
      <c r="I107" t="s">
        <v>664</v>
      </c>
      <c r="J107" t="s">
        <v>701</v>
      </c>
      <c r="K107" t="s">
        <v>689</v>
      </c>
      <c r="L107">
        <v>500</v>
      </c>
      <c r="M107">
        <f t="shared" si="5"/>
        <v>19</v>
      </c>
      <c r="N107">
        <f>($M:M-5)</f>
        <v>14</v>
      </c>
      <c r="O107">
        <v>0</v>
      </c>
      <c r="P107" t="s">
        <v>671</v>
      </c>
    </row>
    <row r="108" spans="1:16" x14ac:dyDescent="0.35">
      <c r="A108" t="s">
        <v>115</v>
      </c>
      <c r="B108" s="1">
        <v>43819</v>
      </c>
      <c r="C108" t="s">
        <v>302</v>
      </c>
      <c r="D108" t="s">
        <v>411</v>
      </c>
      <c r="E108" t="s">
        <v>385</v>
      </c>
      <c r="F108">
        <v>2</v>
      </c>
      <c r="G108" t="s">
        <v>427</v>
      </c>
      <c r="H108" s="2" t="s">
        <v>575</v>
      </c>
      <c r="I108" t="s">
        <v>665</v>
      </c>
      <c r="J108" t="s">
        <v>698</v>
      </c>
      <c r="K108" t="s">
        <v>688</v>
      </c>
      <c r="L108">
        <v>2</v>
      </c>
      <c r="M108">
        <f t="shared" si="5"/>
        <v>13</v>
      </c>
      <c r="N108">
        <f>($M:M-5)</f>
        <v>8</v>
      </c>
      <c r="O108">
        <f>M:M-N:N-F:F</f>
        <v>3</v>
      </c>
      <c r="P108" t="s">
        <v>671</v>
      </c>
    </row>
    <row r="109" spans="1:16" x14ac:dyDescent="0.35">
      <c r="A109" t="s">
        <v>116</v>
      </c>
      <c r="B109" s="1">
        <v>43820</v>
      </c>
      <c r="C109" t="s">
        <v>303</v>
      </c>
      <c r="D109" t="s">
        <v>405</v>
      </c>
      <c r="E109" t="s">
        <v>386</v>
      </c>
      <c r="F109">
        <v>9</v>
      </c>
      <c r="G109" t="s">
        <v>428</v>
      </c>
      <c r="H109" s="2" t="s">
        <v>576</v>
      </c>
      <c r="I109" t="s">
        <v>665</v>
      </c>
      <c r="J109" t="s">
        <v>701</v>
      </c>
      <c r="L109">
        <v>345</v>
      </c>
      <c r="M109">
        <f t="shared" si="5"/>
        <v>20</v>
      </c>
      <c r="N109">
        <f>($M:M-5)</f>
        <v>15</v>
      </c>
      <c r="O109">
        <v>0</v>
      </c>
      <c r="P109" t="s">
        <v>671</v>
      </c>
    </row>
    <row r="110" spans="1:16" x14ac:dyDescent="0.35">
      <c r="A110" t="s">
        <v>117</v>
      </c>
      <c r="B110" s="1">
        <v>43821</v>
      </c>
      <c r="C110" t="s">
        <v>304</v>
      </c>
      <c r="D110" t="s">
        <v>407</v>
      </c>
      <c r="E110" t="s">
        <v>386</v>
      </c>
      <c r="F110">
        <v>3</v>
      </c>
      <c r="G110" t="s">
        <v>429</v>
      </c>
      <c r="H110" s="2" t="s">
        <v>577</v>
      </c>
      <c r="I110" t="s">
        <v>667</v>
      </c>
      <c r="J110" t="s">
        <v>701</v>
      </c>
      <c r="L110">
        <v>345</v>
      </c>
      <c r="M110">
        <f t="shared" si="5"/>
        <v>14</v>
      </c>
      <c r="N110">
        <f>($M:M-5)</f>
        <v>9</v>
      </c>
      <c r="O110">
        <f>M:M-N:N-F:F</f>
        <v>2</v>
      </c>
      <c r="P110" t="s">
        <v>671</v>
      </c>
    </row>
    <row r="111" spans="1:16" x14ac:dyDescent="0.35">
      <c r="A111" t="s">
        <v>118</v>
      </c>
      <c r="B111" s="1">
        <v>43822</v>
      </c>
      <c r="C111" t="s">
        <v>305</v>
      </c>
      <c r="D111" t="s">
        <v>404</v>
      </c>
      <c r="E111" t="s">
        <v>386</v>
      </c>
      <c r="F111">
        <v>6</v>
      </c>
      <c r="G111" t="s">
        <v>430</v>
      </c>
      <c r="H111" s="2" t="s">
        <v>525</v>
      </c>
      <c r="I111" t="s">
        <v>664</v>
      </c>
      <c r="J111" t="s">
        <v>701</v>
      </c>
      <c r="L111">
        <v>345</v>
      </c>
      <c r="M111">
        <f t="shared" si="5"/>
        <v>17</v>
      </c>
      <c r="N111">
        <f>($M:M-5)</f>
        <v>12</v>
      </c>
      <c r="O111">
        <v>0</v>
      </c>
      <c r="P111" t="s">
        <v>671</v>
      </c>
    </row>
    <row r="112" spans="1:16" x14ac:dyDescent="0.35">
      <c r="A112" t="s">
        <v>119</v>
      </c>
      <c r="B112" s="1">
        <v>43823</v>
      </c>
      <c r="C112" t="s">
        <v>306</v>
      </c>
      <c r="D112" t="s">
        <v>402</v>
      </c>
      <c r="E112" t="s">
        <v>386</v>
      </c>
      <c r="F112">
        <v>1</v>
      </c>
      <c r="G112" t="s">
        <v>431</v>
      </c>
      <c r="H112" s="2" t="s">
        <v>578</v>
      </c>
      <c r="I112" t="s">
        <v>665</v>
      </c>
      <c r="J112" t="s">
        <v>699</v>
      </c>
      <c r="L112">
        <v>345</v>
      </c>
      <c r="M112">
        <f t="shared" si="5"/>
        <v>12</v>
      </c>
      <c r="N112">
        <f>($M:M-5)</f>
        <v>7</v>
      </c>
      <c r="O112">
        <f>M:M-N:N-F:F</f>
        <v>4</v>
      </c>
      <c r="P112" t="s">
        <v>671</v>
      </c>
    </row>
    <row r="113" spans="1:16" x14ac:dyDescent="0.35">
      <c r="A113" t="s">
        <v>120</v>
      </c>
      <c r="B113" s="1">
        <v>43824</v>
      </c>
      <c r="C113" t="s">
        <v>307</v>
      </c>
      <c r="D113" t="s">
        <v>411</v>
      </c>
      <c r="E113" t="s">
        <v>391</v>
      </c>
      <c r="F113">
        <v>6</v>
      </c>
      <c r="G113" t="s">
        <v>432</v>
      </c>
      <c r="H113" s="2" t="s">
        <v>579</v>
      </c>
      <c r="I113" t="s">
        <v>665</v>
      </c>
      <c r="J113" t="s">
        <v>698</v>
      </c>
      <c r="K113" t="s">
        <v>689</v>
      </c>
      <c r="L113">
        <v>1</v>
      </c>
      <c r="M113">
        <f t="shared" si="5"/>
        <v>17</v>
      </c>
      <c r="N113">
        <f>($M:M-5)</f>
        <v>12</v>
      </c>
      <c r="O113">
        <v>0</v>
      </c>
      <c r="P113" t="s">
        <v>671</v>
      </c>
    </row>
    <row r="114" spans="1:16" x14ac:dyDescent="0.35">
      <c r="A114" t="s">
        <v>121</v>
      </c>
      <c r="B114" s="1">
        <v>43825</v>
      </c>
      <c r="C114" t="s">
        <v>308</v>
      </c>
      <c r="D114" t="s">
        <v>410</v>
      </c>
      <c r="E114" t="s">
        <v>386</v>
      </c>
      <c r="F114">
        <v>2</v>
      </c>
      <c r="G114" t="s">
        <v>433</v>
      </c>
      <c r="H114" s="2" t="s">
        <v>580</v>
      </c>
      <c r="I114" t="s">
        <v>664</v>
      </c>
      <c r="J114" t="s">
        <v>699</v>
      </c>
      <c r="L114">
        <v>340</v>
      </c>
      <c r="M114">
        <f t="shared" si="5"/>
        <v>13</v>
      </c>
      <c r="N114">
        <f>($M:M-5)</f>
        <v>8</v>
      </c>
      <c r="O114">
        <f>M:M-N:N-F:F</f>
        <v>3</v>
      </c>
      <c r="P114" t="s">
        <v>671</v>
      </c>
    </row>
    <row r="115" spans="1:16" x14ac:dyDescent="0.35">
      <c r="A115" t="s">
        <v>122</v>
      </c>
      <c r="B115" s="1">
        <v>43826</v>
      </c>
      <c r="C115" t="s">
        <v>309</v>
      </c>
      <c r="D115" t="s">
        <v>407</v>
      </c>
      <c r="E115" t="s">
        <v>386</v>
      </c>
      <c r="F115">
        <v>8</v>
      </c>
      <c r="G115" t="s">
        <v>434</v>
      </c>
      <c r="H115" s="2" t="s">
        <v>581</v>
      </c>
      <c r="I115" t="s">
        <v>665</v>
      </c>
      <c r="J115" t="s">
        <v>699</v>
      </c>
      <c r="L115">
        <v>345</v>
      </c>
      <c r="M115">
        <f t="shared" si="5"/>
        <v>19</v>
      </c>
      <c r="N115">
        <f>($M:M-5)</f>
        <v>14</v>
      </c>
      <c r="O115">
        <v>0</v>
      </c>
      <c r="P115" t="s">
        <v>671</v>
      </c>
    </row>
    <row r="116" spans="1:16" x14ac:dyDescent="0.35">
      <c r="A116" t="s">
        <v>123</v>
      </c>
      <c r="B116" s="1">
        <v>43827</v>
      </c>
      <c r="C116" t="s">
        <v>310</v>
      </c>
      <c r="D116" t="s">
        <v>413</v>
      </c>
      <c r="E116" t="s">
        <v>396</v>
      </c>
      <c r="F116">
        <v>2</v>
      </c>
      <c r="G116" t="s">
        <v>435</v>
      </c>
      <c r="H116" s="2" t="s">
        <v>582</v>
      </c>
      <c r="I116" t="s">
        <v>666</v>
      </c>
      <c r="J116" t="s">
        <v>698</v>
      </c>
      <c r="K116" t="s">
        <v>689</v>
      </c>
      <c r="L116">
        <v>12</v>
      </c>
      <c r="M116">
        <f t="shared" si="5"/>
        <v>13</v>
      </c>
      <c r="N116">
        <f>($M:M-5)</f>
        <v>8</v>
      </c>
      <c r="O116">
        <f>M:M-N:N-F:F</f>
        <v>3</v>
      </c>
      <c r="P116" t="s">
        <v>671</v>
      </c>
    </row>
    <row r="117" spans="1:16" x14ac:dyDescent="0.35">
      <c r="A117" t="s">
        <v>124</v>
      </c>
      <c r="B117" s="1">
        <v>43828</v>
      </c>
      <c r="C117" t="s">
        <v>311</v>
      </c>
      <c r="D117" t="s">
        <v>409</v>
      </c>
      <c r="E117" t="s">
        <v>386</v>
      </c>
      <c r="F117">
        <v>5</v>
      </c>
      <c r="G117" t="s">
        <v>436</v>
      </c>
      <c r="H117" s="2" t="s">
        <v>583</v>
      </c>
      <c r="I117" t="s">
        <v>670</v>
      </c>
      <c r="J117" t="s">
        <v>699</v>
      </c>
      <c r="L117">
        <v>340</v>
      </c>
      <c r="M117">
        <f t="shared" si="5"/>
        <v>16</v>
      </c>
      <c r="N117">
        <f>($M:M-5)</f>
        <v>11</v>
      </c>
      <c r="O117">
        <f>M:M-N:N-F:F</f>
        <v>0</v>
      </c>
      <c r="P117" t="s">
        <v>671</v>
      </c>
    </row>
    <row r="118" spans="1:16" x14ac:dyDescent="0.35">
      <c r="A118" t="s">
        <v>125</v>
      </c>
      <c r="B118" s="1">
        <v>43829</v>
      </c>
      <c r="C118" t="s">
        <v>312</v>
      </c>
      <c r="D118" t="s">
        <v>405</v>
      </c>
      <c r="E118" t="s">
        <v>386</v>
      </c>
      <c r="F118">
        <v>3</v>
      </c>
      <c r="G118" t="s">
        <v>437</v>
      </c>
      <c r="H118" s="2" t="s">
        <v>584</v>
      </c>
      <c r="I118" t="s">
        <v>669</v>
      </c>
      <c r="J118" t="s">
        <v>699</v>
      </c>
      <c r="L118">
        <v>345</v>
      </c>
      <c r="M118">
        <f t="shared" si="5"/>
        <v>14</v>
      </c>
      <c r="N118">
        <f>($M:M-5)</f>
        <v>9</v>
      </c>
      <c r="O118">
        <f>M:M-N:N-F:F</f>
        <v>2</v>
      </c>
      <c r="P118" t="s">
        <v>671</v>
      </c>
    </row>
    <row r="119" spans="1:16" x14ac:dyDescent="0.35">
      <c r="A119" t="s">
        <v>126</v>
      </c>
      <c r="B119" s="1">
        <v>43830</v>
      </c>
      <c r="C119" t="s">
        <v>313</v>
      </c>
      <c r="D119" t="s">
        <v>408</v>
      </c>
      <c r="E119" t="s">
        <v>395</v>
      </c>
      <c r="F119">
        <v>3</v>
      </c>
      <c r="G119" t="s">
        <v>438</v>
      </c>
      <c r="H119" s="2" t="s">
        <v>585</v>
      </c>
      <c r="I119" t="s">
        <v>664</v>
      </c>
      <c r="J119" t="s">
        <v>698</v>
      </c>
      <c r="K119" t="s">
        <v>689</v>
      </c>
      <c r="L119">
        <v>32</v>
      </c>
      <c r="M119">
        <f t="shared" si="5"/>
        <v>14</v>
      </c>
      <c r="N119">
        <f>($M:M-5)</f>
        <v>9</v>
      </c>
      <c r="O119">
        <f>M:M-N:N-F:F</f>
        <v>2</v>
      </c>
      <c r="P119" t="s">
        <v>671</v>
      </c>
    </row>
    <row r="120" spans="1:16" x14ac:dyDescent="0.35">
      <c r="A120" t="s">
        <v>127</v>
      </c>
      <c r="B120" s="1">
        <v>43831</v>
      </c>
      <c r="C120" t="s">
        <v>314</v>
      </c>
      <c r="D120" t="s">
        <v>406</v>
      </c>
      <c r="E120" t="s">
        <v>385</v>
      </c>
      <c r="F120">
        <v>8</v>
      </c>
      <c r="G120" t="s">
        <v>439</v>
      </c>
      <c r="H120" s="2" t="s">
        <v>586</v>
      </c>
      <c r="I120" t="s">
        <v>665</v>
      </c>
      <c r="J120" t="s">
        <v>698</v>
      </c>
      <c r="K120" t="s">
        <v>684</v>
      </c>
      <c r="L120">
        <v>2</v>
      </c>
      <c r="M120">
        <f t="shared" si="5"/>
        <v>19</v>
      </c>
      <c r="N120">
        <f>($M:M-5)</f>
        <v>14</v>
      </c>
      <c r="O120">
        <v>0</v>
      </c>
      <c r="P120" t="s">
        <v>671</v>
      </c>
    </row>
    <row r="121" spans="1:16" x14ac:dyDescent="0.35">
      <c r="A121" t="s">
        <v>128</v>
      </c>
      <c r="B121" s="1">
        <v>43832</v>
      </c>
      <c r="C121" t="s">
        <v>315</v>
      </c>
      <c r="D121" t="s">
        <v>400</v>
      </c>
      <c r="E121" t="s">
        <v>388</v>
      </c>
      <c r="F121">
        <v>2</v>
      </c>
      <c r="G121" t="s">
        <v>440</v>
      </c>
      <c r="H121" s="2" t="s">
        <v>587</v>
      </c>
      <c r="I121" t="s">
        <v>665</v>
      </c>
      <c r="J121" t="s">
        <v>700</v>
      </c>
      <c r="K121" t="s">
        <v>685</v>
      </c>
      <c r="L121">
        <v>70</v>
      </c>
      <c r="M121">
        <f t="shared" si="5"/>
        <v>13</v>
      </c>
      <c r="N121">
        <f>($M:M-5)</f>
        <v>8</v>
      </c>
      <c r="O121">
        <f>M:M-N:N-F:F</f>
        <v>3</v>
      </c>
      <c r="P121" t="s">
        <v>671</v>
      </c>
    </row>
    <row r="122" spans="1:16" x14ac:dyDescent="0.35">
      <c r="A122" t="s">
        <v>129</v>
      </c>
      <c r="B122" s="1">
        <v>43833</v>
      </c>
      <c r="C122" t="s">
        <v>316</v>
      </c>
      <c r="D122" t="s">
        <v>407</v>
      </c>
      <c r="E122" t="s">
        <v>386</v>
      </c>
      <c r="F122">
        <v>7</v>
      </c>
      <c r="G122" t="s">
        <v>441</v>
      </c>
      <c r="H122" s="2" t="s">
        <v>588</v>
      </c>
      <c r="I122" t="s">
        <v>667</v>
      </c>
      <c r="J122" t="s">
        <v>698</v>
      </c>
      <c r="L122">
        <v>345</v>
      </c>
      <c r="M122">
        <f t="shared" si="5"/>
        <v>18</v>
      </c>
      <c r="N122">
        <f>($M:M-5)</f>
        <v>13</v>
      </c>
      <c r="O122">
        <v>0</v>
      </c>
      <c r="P122" t="s">
        <v>672</v>
      </c>
    </row>
    <row r="123" spans="1:16" x14ac:dyDescent="0.35">
      <c r="A123" t="s">
        <v>130</v>
      </c>
      <c r="B123" s="1">
        <v>43834</v>
      </c>
      <c r="C123" t="s">
        <v>317</v>
      </c>
      <c r="D123" t="s">
        <v>404</v>
      </c>
      <c r="E123" t="s">
        <v>396</v>
      </c>
      <c r="F123">
        <v>3</v>
      </c>
      <c r="G123" t="s">
        <v>442</v>
      </c>
      <c r="H123" s="2" t="s">
        <v>589</v>
      </c>
      <c r="I123" t="s">
        <v>665</v>
      </c>
      <c r="J123" t="s">
        <v>698</v>
      </c>
      <c r="K123" t="s">
        <v>689</v>
      </c>
      <c r="L123">
        <v>2</v>
      </c>
      <c r="M123">
        <f t="shared" si="5"/>
        <v>14</v>
      </c>
      <c r="N123">
        <f>($M:M-5)</f>
        <v>9</v>
      </c>
      <c r="O123">
        <f>M:M-N:N-F:F</f>
        <v>2</v>
      </c>
      <c r="P123" t="s">
        <v>672</v>
      </c>
    </row>
    <row r="124" spans="1:16" x14ac:dyDescent="0.35">
      <c r="A124" t="s">
        <v>131</v>
      </c>
      <c r="B124" s="1">
        <v>43835</v>
      </c>
      <c r="C124" t="s">
        <v>318</v>
      </c>
      <c r="D124" t="s">
        <v>405</v>
      </c>
      <c r="E124" t="s">
        <v>396</v>
      </c>
      <c r="F124">
        <v>4</v>
      </c>
      <c r="G124" t="s">
        <v>443</v>
      </c>
      <c r="H124" s="2" t="s">
        <v>590</v>
      </c>
      <c r="I124" t="s">
        <v>668</v>
      </c>
      <c r="J124" t="s">
        <v>698</v>
      </c>
      <c r="K124" t="s">
        <v>689</v>
      </c>
      <c r="L124">
        <v>2</v>
      </c>
      <c r="M124">
        <f t="shared" si="5"/>
        <v>15</v>
      </c>
      <c r="N124">
        <f>($M:M-5)</f>
        <v>10</v>
      </c>
      <c r="O124">
        <f>M:M-N:N-F:F</f>
        <v>1</v>
      </c>
      <c r="P124" t="s">
        <v>672</v>
      </c>
    </row>
    <row r="125" spans="1:16" x14ac:dyDescent="0.35">
      <c r="A125" t="s">
        <v>132</v>
      </c>
      <c r="B125" s="1">
        <v>44567</v>
      </c>
      <c r="C125" t="s">
        <v>319</v>
      </c>
      <c r="D125" t="s">
        <v>411</v>
      </c>
      <c r="E125" t="s">
        <v>386</v>
      </c>
      <c r="F125">
        <v>4</v>
      </c>
      <c r="G125" t="s">
        <v>444</v>
      </c>
      <c r="H125" s="2" t="s">
        <v>591</v>
      </c>
      <c r="I125" t="s">
        <v>664</v>
      </c>
      <c r="J125" t="s">
        <v>698</v>
      </c>
      <c r="L125">
        <v>345</v>
      </c>
      <c r="M125">
        <f t="shared" si="5"/>
        <v>15</v>
      </c>
      <c r="N125">
        <f>($M:M-5)</f>
        <v>10</v>
      </c>
      <c r="O125">
        <f>M:M-N:N-F:F</f>
        <v>1</v>
      </c>
      <c r="P125" t="s">
        <v>672</v>
      </c>
    </row>
    <row r="126" spans="1:16" x14ac:dyDescent="0.35">
      <c r="A126" t="s">
        <v>133</v>
      </c>
      <c r="B126" s="1">
        <v>43837</v>
      </c>
      <c r="C126" t="s">
        <v>320</v>
      </c>
      <c r="D126" t="s">
        <v>409</v>
      </c>
      <c r="E126" t="s">
        <v>396</v>
      </c>
      <c r="F126">
        <v>1</v>
      </c>
      <c r="G126" t="s">
        <v>445</v>
      </c>
      <c r="H126" s="2" t="s">
        <v>592</v>
      </c>
      <c r="I126" t="s">
        <v>670</v>
      </c>
      <c r="J126" t="s">
        <v>698</v>
      </c>
      <c r="K126" t="s">
        <v>689</v>
      </c>
      <c r="L126">
        <v>2</v>
      </c>
      <c r="M126">
        <f t="shared" si="5"/>
        <v>12</v>
      </c>
      <c r="N126">
        <f>($M:M-5)</f>
        <v>7</v>
      </c>
      <c r="O126">
        <f>M:M-N:N-F:F</f>
        <v>4</v>
      </c>
      <c r="P126" t="s">
        <v>671</v>
      </c>
    </row>
    <row r="127" spans="1:16" x14ac:dyDescent="0.35">
      <c r="A127" t="s">
        <v>134</v>
      </c>
      <c r="B127" s="1">
        <v>43838</v>
      </c>
      <c r="C127" t="s">
        <v>321</v>
      </c>
      <c r="D127" t="s">
        <v>410</v>
      </c>
      <c r="E127" t="s">
        <v>397</v>
      </c>
      <c r="F127">
        <v>6</v>
      </c>
      <c r="G127" t="s">
        <v>446</v>
      </c>
      <c r="H127" s="2" t="s">
        <v>593</v>
      </c>
      <c r="I127" t="s">
        <v>666</v>
      </c>
      <c r="J127" t="s">
        <v>698</v>
      </c>
      <c r="K127" t="s">
        <v>689</v>
      </c>
      <c r="L127">
        <v>500</v>
      </c>
      <c r="M127">
        <f t="shared" si="5"/>
        <v>17</v>
      </c>
      <c r="N127">
        <f>($M:M-5)</f>
        <v>12</v>
      </c>
      <c r="O127">
        <v>0</v>
      </c>
      <c r="P127" t="s">
        <v>672</v>
      </c>
    </row>
    <row r="128" spans="1:16" x14ac:dyDescent="0.35">
      <c r="A128" t="s">
        <v>135</v>
      </c>
      <c r="B128" s="1">
        <v>43839</v>
      </c>
      <c r="C128" t="s">
        <v>322</v>
      </c>
      <c r="D128" t="s">
        <v>408</v>
      </c>
      <c r="E128" t="s">
        <v>391</v>
      </c>
      <c r="F128">
        <v>2</v>
      </c>
      <c r="G128" t="s">
        <v>447</v>
      </c>
      <c r="H128" s="2" t="s">
        <v>594</v>
      </c>
      <c r="I128" t="s">
        <v>668</v>
      </c>
      <c r="J128" t="s">
        <v>698</v>
      </c>
      <c r="K128" t="s">
        <v>689</v>
      </c>
      <c r="L128">
        <v>1</v>
      </c>
      <c r="M128">
        <f t="shared" si="5"/>
        <v>13</v>
      </c>
      <c r="N128">
        <f>($M:M-5)</f>
        <v>8</v>
      </c>
      <c r="O128">
        <f>M:M-N:N-F:F</f>
        <v>3</v>
      </c>
      <c r="P128" t="s">
        <v>671</v>
      </c>
    </row>
    <row r="129" spans="1:16" x14ac:dyDescent="0.35">
      <c r="A129" t="s">
        <v>136</v>
      </c>
      <c r="B129" s="1">
        <v>44571</v>
      </c>
      <c r="C129" t="s">
        <v>323</v>
      </c>
      <c r="D129" t="s">
        <v>405</v>
      </c>
      <c r="E129" t="s">
        <v>398</v>
      </c>
      <c r="F129">
        <v>0</v>
      </c>
      <c r="G129" t="s">
        <v>448</v>
      </c>
      <c r="H129" s="2" t="s">
        <v>595</v>
      </c>
      <c r="I129" t="s">
        <v>665</v>
      </c>
      <c r="J129" t="s">
        <v>698</v>
      </c>
      <c r="K129" t="s">
        <v>696</v>
      </c>
      <c r="L129">
        <v>661</v>
      </c>
      <c r="M129">
        <f t="shared" si="5"/>
        <v>11</v>
      </c>
      <c r="N129">
        <f>($M:M-5)</f>
        <v>6</v>
      </c>
      <c r="O129">
        <f>M:M-N:N-F:F</f>
        <v>5</v>
      </c>
      <c r="P129" t="s">
        <v>672</v>
      </c>
    </row>
    <row r="130" spans="1:16" x14ac:dyDescent="0.35">
      <c r="A130" t="s">
        <v>137</v>
      </c>
      <c r="B130" s="1">
        <v>43841</v>
      </c>
      <c r="C130" t="s">
        <v>324</v>
      </c>
      <c r="D130" t="s">
        <v>406</v>
      </c>
      <c r="E130" t="s">
        <v>398</v>
      </c>
      <c r="F130">
        <v>2</v>
      </c>
      <c r="G130" t="s">
        <v>449</v>
      </c>
      <c r="H130" s="2" t="s">
        <v>596</v>
      </c>
      <c r="I130" t="s">
        <v>668</v>
      </c>
      <c r="J130" t="s">
        <v>698</v>
      </c>
      <c r="K130" t="s">
        <v>696</v>
      </c>
      <c r="L130">
        <v>661</v>
      </c>
      <c r="M130">
        <f t="shared" ref="M130:M161" si="6">F:F+11</f>
        <v>13</v>
      </c>
      <c r="N130">
        <f>($M:M-5)</f>
        <v>8</v>
      </c>
      <c r="O130">
        <f>M:M-N:N-F:F</f>
        <v>3</v>
      </c>
      <c r="P130" t="s">
        <v>671</v>
      </c>
    </row>
    <row r="131" spans="1:16" x14ac:dyDescent="0.35">
      <c r="A131" t="s">
        <v>138</v>
      </c>
      <c r="B131" s="1">
        <v>43842</v>
      </c>
      <c r="C131" t="s">
        <v>325</v>
      </c>
      <c r="D131" t="s">
        <v>407</v>
      </c>
      <c r="E131" t="s">
        <v>386</v>
      </c>
      <c r="F131">
        <v>5</v>
      </c>
      <c r="G131" t="s">
        <v>437</v>
      </c>
      <c r="H131" s="2" t="s">
        <v>584</v>
      </c>
      <c r="I131" t="s">
        <v>664</v>
      </c>
      <c r="J131" t="s">
        <v>698</v>
      </c>
      <c r="L131">
        <v>345</v>
      </c>
      <c r="M131">
        <f t="shared" si="6"/>
        <v>16</v>
      </c>
      <c r="N131">
        <f>($M:M-5)</f>
        <v>11</v>
      </c>
      <c r="O131">
        <f>M:M-N:N-F:F</f>
        <v>0</v>
      </c>
      <c r="P131" t="s">
        <v>672</v>
      </c>
    </row>
    <row r="132" spans="1:16" x14ac:dyDescent="0.35">
      <c r="A132" t="s">
        <v>139</v>
      </c>
      <c r="B132" s="1">
        <v>45304</v>
      </c>
      <c r="C132" t="s">
        <v>326</v>
      </c>
      <c r="D132" t="s">
        <v>404</v>
      </c>
      <c r="E132" t="s">
        <v>385</v>
      </c>
      <c r="F132">
        <v>2</v>
      </c>
      <c r="G132" t="s">
        <v>450</v>
      </c>
      <c r="H132" s="2" t="s">
        <v>597</v>
      </c>
      <c r="I132" t="s">
        <v>668</v>
      </c>
      <c r="J132" t="s">
        <v>698</v>
      </c>
      <c r="K132" t="s">
        <v>684</v>
      </c>
      <c r="L132">
        <v>2</v>
      </c>
      <c r="M132">
        <f t="shared" si="6"/>
        <v>13</v>
      </c>
      <c r="N132">
        <f>($M:M-5)</f>
        <v>8</v>
      </c>
      <c r="O132">
        <f>M:M-N:N-F:F</f>
        <v>3</v>
      </c>
      <c r="P132" t="s">
        <v>671</v>
      </c>
    </row>
    <row r="133" spans="1:16" x14ac:dyDescent="0.35">
      <c r="A133" t="s">
        <v>140</v>
      </c>
      <c r="B133" s="1">
        <v>44940</v>
      </c>
      <c r="C133" t="s">
        <v>327</v>
      </c>
      <c r="D133" t="s">
        <v>400</v>
      </c>
      <c r="E133" t="s">
        <v>395</v>
      </c>
      <c r="F133">
        <v>7</v>
      </c>
      <c r="G133" t="s">
        <v>451</v>
      </c>
      <c r="H133" s="2" t="s">
        <v>598</v>
      </c>
      <c r="I133" t="s">
        <v>669</v>
      </c>
      <c r="J133" t="s">
        <v>698</v>
      </c>
      <c r="K133" t="s">
        <v>689</v>
      </c>
      <c r="L133">
        <v>32</v>
      </c>
      <c r="M133">
        <f t="shared" si="6"/>
        <v>18</v>
      </c>
      <c r="N133">
        <f>($M:M-5)</f>
        <v>13</v>
      </c>
      <c r="O133">
        <v>0</v>
      </c>
      <c r="P133" t="s">
        <v>672</v>
      </c>
    </row>
    <row r="134" spans="1:16" x14ac:dyDescent="0.35">
      <c r="A134" t="s">
        <v>141</v>
      </c>
      <c r="B134" s="1">
        <v>44576</v>
      </c>
      <c r="C134" t="s">
        <v>328</v>
      </c>
      <c r="D134" t="s">
        <v>411</v>
      </c>
      <c r="E134" t="s">
        <v>394</v>
      </c>
      <c r="F134">
        <v>2</v>
      </c>
      <c r="G134" t="s">
        <v>452</v>
      </c>
      <c r="H134" s="2" t="s">
        <v>599</v>
      </c>
      <c r="I134" t="s">
        <v>667</v>
      </c>
      <c r="J134" t="s">
        <v>698</v>
      </c>
      <c r="K134" t="s">
        <v>689</v>
      </c>
      <c r="L134">
        <v>42</v>
      </c>
      <c r="M134">
        <f t="shared" si="6"/>
        <v>13</v>
      </c>
      <c r="N134">
        <f>($M:M-5)</f>
        <v>8</v>
      </c>
      <c r="O134">
        <f>M:M-N:N-F:F</f>
        <v>3</v>
      </c>
      <c r="P134" t="s">
        <v>671</v>
      </c>
    </row>
    <row r="135" spans="1:16" x14ac:dyDescent="0.35">
      <c r="A135" t="s">
        <v>142</v>
      </c>
      <c r="B135" s="1">
        <v>44577</v>
      </c>
      <c r="C135" t="s">
        <v>329</v>
      </c>
      <c r="D135" t="s">
        <v>413</v>
      </c>
      <c r="E135" t="s">
        <v>386</v>
      </c>
      <c r="F135">
        <v>9</v>
      </c>
      <c r="G135" t="s">
        <v>453</v>
      </c>
      <c r="H135" s="2" t="s">
        <v>600</v>
      </c>
      <c r="I135" t="s">
        <v>666</v>
      </c>
      <c r="J135" t="s">
        <v>698</v>
      </c>
      <c r="L135">
        <v>345</v>
      </c>
      <c r="M135">
        <f t="shared" si="6"/>
        <v>20</v>
      </c>
      <c r="N135">
        <f>($M:M-5)</f>
        <v>15</v>
      </c>
      <c r="O135">
        <v>0</v>
      </c>
      <c r="P135" t="s">
        <v>672</v>
      </c>
    </row>
    <row r="136" spans="1:16" x14ac:dyDescent="0.35">
      <c r="A136" t="s">
        <v>143</v>
      </c>
      <c r="B136" s="1">
        <v>44943</v>
      </c>
      <c r="C136" t="s">
        <v>330</v>
      </c>
      <c r="D136" t="s">
        <v>402</v>
      </c>
      <c r="E136" t="s">
        <v>388</v>
      </c>
      <c r="F136">
        <v>3</v>
      </c>
      <c r="G136" t="s">
        <v>454</v>
      </c>
      <c r="H136" s="2" t="s">
        <v>601</v>
      </c>
      <c r="I136" t="s">
        <v>665</v>
      </c>
      <c r="J136" t="s">
        <v>698</v>
      </c>
      <c r="K136" t="s">
        <v>685</v>
      </c>
      <c r="L136">
        <v>77</v>
      </c>
      <c r="M136">
        <f t="shared" si="6"/>
        <v>14</v>
      </c>
      <c r="N136">
        <f>($M:M-5)</f>
        <v>9</v>
      </c>
      <c r="O136">
        <f>M:M-N:N-F:F</f>
        <v>2</v>
      </c>
      <c r="P136" t="s">
        <v>671</v>
      </c>
    </row>
    <row r="137" spans="1:16" x14ac:dyDescent="0.35">
      <c r="A137" t="s">
        <v>144</v>
      </c>
      <c r="B137" s="1">
        <v>44944</v>
      </c>
      <c r="C137" t="s">
        <v>331</v>
      </c>
      <c r="D137" t="s">
        <v>411</v>
      </c>
      <c r="E137" t="s">
        <v>388</v>
      </c>
      <c r="F137">
        <v>1</v>
      </c>
      <c r="G137" t="s">
        <v>455</v>
      </c>
      <c r="H137" s="2" t="s">
        <v>602</v>
      </c>
      <c r="I137" t="s">
        <v>664</v>
      </c>
      <c r="J137" t="s">
        <v>698</v>
      </c>
      <c r="K137" t="s">
        <v>685</v>
      </c>
      <c r="L137">
        <v>77</v>
      </c>
      <c r="M137">
        <f t="shared" si="6"/>
        <v>12</v>
      </c>
      <c r="N137">
        <f>($M:M-5)</f>
        <v>7</v>
      </c>
      <c r="O137">
        <f>M:M-N:N-F:F</f>
        <v>4</v>
      </c>
      <c r="P137" t="s">
        <v>672</v>
      </c>
    </row>
    <row r="138" spans="1:16" x14ac:dyDescent="0.35">
      <c r="A138" t="s">
        <v>145</v>
      </c>
      <c r="B138" s="1">
        <v>44945</v>
      </c>
      <c r="C138" t="s">
        <v>332</v>
      </c>
      <c r="D138" t="s">
        <v>404</v>
      </c>
      <c r="E138" t="s">
        <v>398</v>
      </c>
      <c r="F138">
        <v>5</v>
      </c>
      <c r="G138" t="s">
        <v>456</v>
      </c>
      <c r="H138" s="2" t="s">
        <v>603</v>
      </c>
      <c r="I138" t="s">
        <v>665</v>
      </c>
      <c r="J138" t="s">
        <v>698</v>
      </c>
      <c r="K138" t="s">
        <v>696</v>
      </c>
      <c r="L138">
        <v>555</v>
      </c>
      <c r="M138">
        <f t="shared" si="6"/>
        <v>16</v>
      </c>
      <c r="N138">
        <f>($M:M-5)</f>
        <v>11</v>
      </c>
      <c r="O138">
        <f>M:M-N:N-F:F</f>
        <v>0</v>
      </c>
      <c r="P138" t="s">
        <v>671</v>
      </c>
    </row>
    <row r="139" spans="1:16" x14ac:dyDescent="0.35">
      <c r="A139" t="s">
        <v>146</v>
      </c>
      <c r="B139" s="1">
        <v>43850</v>
      </c>
      <c r="C139" t="s">
        <v>333</v>
      </c>
      <c r="D139" t="s">
        <v>405</v>
      </c>
      <c r="E139" t="s">
        <v>388</v>
      </c>
      <c r="F139">
        <v>9</v>
      </c>
      <c r="G139" t="s">
        <v>457</v>
      </c>
      <c r="H139" s="2" t="s">
        <v>604</v>
      </c>
      <c r="I139" t="s">
        <v>668</v>
      </c>
      <c r="J139" t="s">
        <v>698</v>
      </c>
      <c r="K139" t="s">
        <v>685</v>
      </c>
      <c r="L139">
        <v>77</v>
      </c>
      <c r="M139">
        <f t="shared" si="6"/>
        <v>20</v>
      </c>
      <c r="N139">
        <f>($M:M-5)</f>
        <v>15</v>
      </c>
      <c r="O139">
        <v>0</v>
      </c>
      <c r="P139" t="s">
        <v>672</v>
      </c>
    </row>
    <row r="140" spans="1:16" x14ac:dyDescent="0.35">
      <c r="A140" t="s">
        <v>147</v>
      </c>
      <c r="B140" s="1">
        <v>44947</v>
      </c>
      <c r="C140" t="s">
        <v>334</v>
      </c>
      <c r="D140" t="s">
        <v>407</v>
      </c>
      <c r="E140" t="s">
        <v>388</v>
      </c>
      <c r="F140">
        <v>2</v>
      </c>
      <c r="G140" t="s">
        <v>458</v>
      </c>
      <c r="H140" s="2" t="s">
        <v>605</v>
      </c>
      <c r="I140" t="s">
        <v>665</v>
      </c>
      <c r="J140" t="s">
        <v>698</v>
      </c>
      <c r="K140" t="s">
        <v>685</v>
      </c>
      <c r="L140">
        <v>77</v>
      </c>
      <c r="M140">
        <f t="shared" si="6"/>
        <v>13</v>
      </c>
      <c r="N140">
        <f>($M:M-5)</f>
        <v>8</v>
      </c>
      <c r="O140">
        <f>M:M-N:N-F:F</f>
        <v>3</v>
      </c>
      <c r="P140" t="s">
        <v>671</v>
      </c>
    </row>
    <row r="141" spans="1:16" x14ac:dyDescent="0.35">
      <c r="A141" t="s">
        <v>148</v>
      </c>
      <c r="B141" s="1">
        <v>43852</v>
      </c>
      <c r="C141" t="s">
        <v>335</v>
      </c>
      <c r="D141" t="s">
        <v>402</v>
      </c>
      <c r="E141" t="s">
        <v>386</v>
      </c>
      <c r="F141">
        <v>9</v>
      </c>
      <c r="G141" t="s">
        <v>459</v>
      </c>
      <c r="H141" s="2" t="s">
        <v>606</v>
      </c>
      <c r="I141" t="s">
        <v>665</v>
      </c>
      <c r="J141" t="s">
        <v>698</v>
      </c>
      <c r="L141">
        <v>345</v>
      </c>
      <c r="M141">
        <f t="shared" si="6"/>
        <v>20</v>
      </c>
      <c r="N141">
        <f>($M:M-5)</f>
        <v>15</v>
      </c>
      <c r="O141">
        <v>0</v>
      </c>
      <c r="P141" t="s">
        <v>672</v>
      </c>
    </row>
    <row r="142" spans="1:16" x14ac:dyDescent="0.35">
      <c r="A142" t="s">
        <v>149</v>
      </c>
      <c r="B142" s="1">
        <v>43853</v>
      </c>
      <c r="C142" t="s">
        <v>336</v>
      </c>
      <c r="D142" t="s">
        <v>410</v>
      </c>
      <c r="E142" t="s">
        <v>398</v>
      </c>
      <c r="F142">
        <v>4</v>
      </c>
      <c r="G142" t="s">
        <v>460</v>
      </c>
      <c r="H142" s="2" t="s">
        <v>607</v>
      </c>
      <c r="I142" t="s">
        <v>664</v>
      </c>
      <c r="J142" t="s">
        <v>698</v>
      </c>
      <c r="L142">
        <v>345</v>
      </c>
      <c r="M142">
        <f t="shared" si="6"/>
        <v>15</v>
      </c>
      <c r="N142">
        <f>($M:M-5)</f>
        <v>10</v>
      </c>
      <c r="O142">
        <f t="shared" ref="O142:O148" si="7">M:M-N:N-F:F</f>
        <v>1</v>
      </c>
      <c r="P142" t="s">
        <v>671</v>
      </c>
    </row>
    <row r="143" spans="1:16" x14ac:dyDescent="0.35">
      <c r="A143" t="s">
        <v>150</v>
      </c>
      <c r="B143" s="1">
        <v>43854</v>
      </c>
      <c r="C143" t="s">
        <v>337</v>
      </c>
      <c r="D143" t="s">
        <v>408</v>
      </c>
      <c r="E143" t="s">
        <v>386</v>
      </c>
      <c r="F143">
        <v>4</v>
      </c>
      <c r="G143" t="s">
        <v>471</v>
      </c>
      <c r="H143" s="2" t="s">
        <v>608</v>
      </c>
      <c r="I143" t="s">
        <v>667</v>
      </c>
      <c r="J143" t="s">
        <v>698</v>
      </c>
      <c r="L143">
        <v>345</v>
      </c>
      <c r="M143">
        <f t="shared" si="6"/>
        <v>15</v>
      </c>
      <c r="N143">
        <f>($M:M-5)</f>
        <v>10</v>
      </c>
      <c r="O143">
        <f t="shared" si="7"/>
        <v>1</v>
      </c>
      <c r="P143" t="s">
        <v>672</v>
      </c>
    </row>
    <row r="144" spans="1:16" x14ac:dyDescent="0.35">
      <c r="A144" t="s">
        <v>151</v>
      </c>
      <c r="B144" s="1">
        <v>45316</v>
      </c>
      <c r="C144" t="s">
        <v>338</v>
      </c>
      <c r="D144" t="s">
        <v>409</v>
      </c>
      <c r="E144" t="s">
        <v>386</v>
      </c>
      <c r="F144">
        <v>2</v>
      </c>
      <c r="G144" t="s">
        <v>472</v>
      </c>
      <c r="H144" s="2" t="s">
        <v>609</v>
      </c>
      <c r="I144" t="s">
        <v>664</v>
      </c>
      <c r="J144" t="s">
        <v>698</v>
      </c>
      <c r="L144">
        <v>345</v>
      </c>
      <c r="M144">
        <f t="shared" si="6"/>
        <v>13</v>
      </c>
      <c r="N144">
        <f>($M:M-5)</f>
        <v>8</v>
      </c>
      <c r="O144">
        <f t="shared" si="7"/>
        <v>3</v>
      </c>
      <c r="P144" t="s">
        <v>671</v>
      </c>
    </row>
    <row r="145" spans="1:16" x14ac:dyDescent="0.35">
      <c r="A145" t="s">
        <v>152</v>
      </c>
      <c r="B145" s="1">
        <v>45317</v>
      </c>
      <c r="C145" t="s">
        <v>339</v>
      </c>
      <c r="D145" t="s">
        <v>406</v>
      </c>
      <c r="E145" t="s">
        <v>386</v>
      </c>
      <c r="F145">
        <v>4</v>
      </c>
      <c r="G145" t="s">
        <v>473</v>
      </c>
      <c r="H145" s="2" t="s">
        <v>610</v>
      </c>
      <c r="I145" t="s">
        <v>665</v>
      </c>
      <c r="J145" t="s">
        <v>698</v>
      </c>
      <c r="L145">
        <v>345</v>
      </c>
      <c r="M145">
        <f t="shared" si="6"/>
        <v>15</v>
      </c>
      <c r="N145">
        <f>($M:M-5)</f>
        <v>10</v>
      </c>
      <c r="O145">
        <f t="shared" si="7"/>
        <v>1</v>
      </c>
      <c r="P145" t="s">
        <v>672</v>
      </c>
    </row>
    <row r="146" spans="1:16" x14ac:dyDescent="0.35">
      <c r="A146" t="s">
        <v>153</v>
      </c>
      <c r="B146" s="1">
        <v>45318</v>
      </c>
      <c r="C146" t="s">
        <v>340</v>
      </c>
      <c r="D146" t="s">
        <v>407</v>
      </c>
      <c r="E146" t="s">
        <v>391</v>
      </c>
      <c r="F146">
        <v>2</v>
      </c>
      <c r="G146" t="s">
        <v>474</v>
      </c>
      <c r="H146" s="2" t="s">
        <v>611</v>
      </c>
      <c r="I146" t="s">
        <v>666</v>
      </c>
      <c r="J146" t="s">
        <v>698</v>
      </c>
      <c r="K146" t="s">
        <v>689</v>
      </c>
      <c r="L146">
        <v>1</v>
      </c>
      <c r="M146">
        <f t="shared" si="6"/>
        <v>13</v>
      </c>
      <c r="N146">
        <f>($M:M-5)</f>
        <v>8</v>
      </c>
      <c r="O146">
        <f t="shared" si="7"/>
        <v>3</v>
      </c>
      <c r="P146" t="s">
        <v>671</v>
      </c>
    </row>
    <row r="147" spans="1:16" x14ac:dyDescent="0.35">
      <c r="A147" t="s">
        <v>154</v>
      </c>
      <c r="B147" s="1">
        <v>45319</v>
      </c>
      <c r="C147" t="s">
        <v>341</v>
      </c>
      <c r="D147" t="s">
        <v>404</v>
      </c>
      <c r="E147" t="s">
        <v>386</v>
      </c>
      <c r="F147">
        <v>2</v>
      </c>
      <c r="G147" t="s">
        <v>475</v>
      </c>
      <c r="H147" s="2" t="s">
        <v>612</v>
      </c>
      <c r="I147" t="s">
        <v>665</v>
      </c>
      <c r="J147" t="s">
        <v>698</v>
      </c>
      <c r="L147">
        <v>345</v>
      </c>
      <c r="M147">
        <f t="shared" si="6"/>
        <v>13</v>
      </c>
      <c r="N147">
        <f>($M:M-5)</f>
        <v>8</v>
      </c>
      <c r="O147">
        <f t="shared" si="7"/>
        <v>3</v>
      </c>
      <c r="P147" t="s">
        <v>672</v>
      </c>
    </row>
    <row r="148" spans="1:16" x14ac:dyDescent="0.35">
      <c r="A148" t="s">
        <v>155</v>
      </c>
      <c r="B148" s="1">
        <v>45320</v>
      </c>
      <c r="C148" t="s">
        <v>342</v>
      </c>
      <c r="D148" t="s">
        <v>405</v>
      </c>
      <c r="E148" t="s">
        <v>386</v>
      </c>
      <c r="F148">
        <v>3</v>
      </c>
      <c r="G148" t="s">
        <v>476</v>
      </c>
      <c r="H148" s="2" t="s">
        <v>613</v>
      </c>
      <c r="I148" t="s">
        <v>670</v>
      </c>
      <c r="J148" t="s">
        <v>698</v>
      </c>
      <c r="L148">
        <v>345</v>
      </c>
      <c r="M148">
        <f t="shared" si="6"/>
        <v>14</v>
      </c>
      <c r="N148">
        <f>($M:M-5)</f>
        <v>9</v>
      </c>
      <c r="O148">
        <f t="shared" si="7"/>
        <v>2</v>
      </c>
      <c r="P148" t="s">
        <v>671</v>
      </c>
    </row>
    <row r="149" spans="1:16" x14ac:dyDescent="0.35">
      <c r="A149" t="s">
        <v>156</v>
      </c>
      <c r="B149" s="1">
        <v>45321</v>
      </c>
      <c r="C149" t="s">
        <v>343</v>
      </c>
      <c r="D149" t="s">
        <v>400</v>
      </c>
      <c r="E149" t="s">
        <v>386</v>
      </c>
      <c r="F149">
        <v>6</v>
      </c>
      <c r="G149" t="s">
        <v>477</v>
      </c>
      <c r="H149" s="2" t="s">
        <v>614</v>
      </c>
      <c r="I149" t="s">
        <v>668</v>
      </c>
      <c r="J149" t="s">
        <v>698</v>
      </c>
      <c r="L149">
        <v>345</v>
      </c>
      <c r="M149">
        <f t="shared" si="6"/>
        <v>17</v>
      </c>
      <c r="N149">
        <f>($M:M-5)</f>
        <v>12</v>
      </c>
      <c r="O149">
        <v>0</v>
      </c>
      <c r="P149" t="s">
        <v>672</v>
      </c>
    </row>
    <row r="150" spans="1:16" x14ac:dyDescent="0.35">
      <c r="A150" t="s">
        <v>157</v>
      </c>
      <c r="B150" s="1">
        <v>45322</v>
      </c>
      <c r="C150" t="s">
        <v>344</v>
      </c>
      <c r="D150" t="s">
        <v>402</v>
      </c>
      <c r="E150" t="s">
        <v>386</v>
      </c>
      <c r="F150">
        <v>2</v>
      </c>
      <c r="G150" t="s">
        <v>455</v>
      </c>
      <c r="H150" s="2" t="s">
        <v>602</v>
      </c>
      <c r="I150" t="s">
        <v>669</v>
      </c>
      <c r="J150" t="s">
        <v>698</v>
      </c>
      <c r="L150">
        <v>345</v>
      </c>
      <c r="M150">
        <f t="shared" si="6"/>
        <v>13</v>
      </c>
      <c r="N150">
        <f>($M:M-5)</f>
        <v>8</v>
      </c>
      <c r="O150">
        <f t="shared" ref="O150:O170" si="8">M:M-N:N-F:F</f>
        <v>3</v>
      </c>
      <c r="P150" t="s">
        <v>671</v>
      </c>
    </row>
    <row r="151" spans="1:16" x14ac:dyDescent="0.35">
      <c r="A151" t="s">
        <v>158</v>
      </c>
      <c r="B151" s="1">
        <v>45323</v>
      </c>
      <c r="C151" t="s">
        <v>345</v>
      </c>
      <c r="D151" t="s">
        <v>408</v>
      </c>
      <c r="E151" t="s">
        <v>398</v>
      </c>
      <c r="F151">
        <v>4</v>
      </c>
      <c r="G151" t="s">
        <v>478</v>
      </c>
      <c r="H151" s="2" t="s">
        <v>615</v>
      </c>
      <c r="I151" t="s">
        <v>664</v>
      </c>
      <c r="J151" t="s">
        <v>698</v>
      </c>
      <c r="L151">
        <v>345</v>
      </c>
      <c r="M151">
        <f t="shared" si="6"/>
        <v>15</v>
      </c>
      <c r="N151">
        <f>($M:M-5)</f>
        <v>10</v>
      </c>
      <c r="O151">
        <f t="shared" si="8"/>
        <v>1</v>
      </c>
      <c r="P151" t="s">
        <v>672</v>
      </c>
    </row>
    <row r="152" spans="1:16" x14ac:dyDescent="0.35">
      <c r="A152" t="s">
        <v>159</v>
      </c>
      <c r="B152" s="1">
        <v>45324</v>
      </c>
      <c r="C152" t="s">
        <v>346</v>
      </c>
      <c r="D152" t="s">
        <v>407</v>
      </c>
      <c r="E152" t="s">
        <v>397</v>
      </c>
      <c r="F152">
        <v>2</v>
      </c>
      <c r="G152" t="s">
        <v>479</v>
      </c>
      <c r="H152" s="2" t="s">
        <v>616</v>
      </c>
      <c r="I152" t="s">
        <v>665</v>
      </c>
      <c r="J152" t="s">
        <v>698</v>
      </c>
      <c r="K152" t="s">
        <v>689</v>
      </c>
      <c r="L152">
        <v>345</v>
      </c>
      <c r="M152">
        <f t="shared" si="6"/>
        <v>13</v>
      </c>
      <c r="N152">
        <f>($M:M-5)</f>
        <v>8</v>
      </c>
      <c r="O152">
        <f t="shared" si="8"/>
        <v>3</v>
      </c>
      <c r="P152" t="s">
        <v>672</v>
      </c>
    </row>
    <row r="153" spans="1:16" x14ac:dyDescent="0.35">
      <c r="A153" t="s">
        <v>160</v>
      </c>
      <c r="B153" s="1">
        <v>45325</v>
      </c>
      <c r="C153" t="s">
        <v>347</v>
      </c>
      <c r="D153" t="s">
        <v>404</v>
      </c>
      <c r="E153" t="s">
        <v>398</v>
      </c>
      <c r="F153">
        <v>3</v>
      </c>
      <c r="G153" t="s">
        <v>480</v>
      </c>
      <c r="H153" s="2" t="s">
        <v>617</v>
      </c>
      <c r="I153" t="s">
        <v>666</v>
      </c>
      <c r="J153" t="s">
        <v>698</v>
      </c>
      <c r="K153" t="s">
        <v>689</v>
      </c>
      <c r="L153">
        <v>555</v>
      </c>
      <c r="M153">
        <f t="shared" si="6"/>
        <v>14</v>
      </c>
      <c r="N153">
        <f>($M:M-5)</f>
        <v>9</v>
      </c>
      <c r="O153">
        <f t="shared" si="8"/>
        <v>2</v>
      </c>
      <c r="P153" t="s">
        <v>672</v>
      </c>
    </row>
    <row r="154" spans="1:16" x14ac:dyDescent="0.35">
      <c r="A154" t="s">
        <v>161</v>
      </c>
      <c r="B154" s="1">
        <v>45326</v>
      </c>
      <c r="C154" t="s">
        <v>348</v>
      </c>
      <c r="D154" t="s">
        <v>411</v>
      </c>
      <c r="E154" t="s">
        <v>396</v>
      </c>
      <c r="F154">
        <v>4</v>
      </c>
      <c r="G154" t="s">
        <v>481</v>
      </c>
      <c r="H154" s="2" t="s">
        <v>618</v>
      </c>
      <c r="I154" t="s">
        <v>667</v>
      </c>
      <c r="J154" t="s">
        <v>698</v>
      </c>
      <c r="K154" t="s">
        <v>689</v>
      </c>
      <c r="L154">
        <v>12</v>
      </c>
      <c r="M154">
        <f t="shared" si="6"/>
        <v>15</v>
      </c>
      <c r="N154">
        <f>($M:M-5)</f>
        <v>10</v>
      </c>
      <c r="O154">
        <f t="shared" si="8"/>
        <v>1</v>
      </c>
      <c r="P154" t="s">
        <v>671</v>
      </c>
    </row>
    <row r="155" spans="1:16" x14ac:dyDescent="0.35">
      <c r="A155" t="s">
        <v>162</v>
      </c>
      <c r="B155" s="1">
        <v>45327</v>
      </c>
      <c r="C155" t="s">
        <v>349</v>
      </c>
      <c r="D155" t="s">
        <v>406</v>
      </c>
      <c r="E155" t="s">
        <v>398</v>
      </c>
      <c r="F155">
        <v>4</v>
      </c>
      <c r="G155" t="s">
        <v>482</v>
      </c>
      <c r="H155" s="2" t="s">
        <v>619</v>
      </c>
      <c r="I155" t="s">
        <v>668</v>
      </c>
      <c r="J155" t="s">
        <v>698</v>
      </c>
      <c r="K155" t="s">
        <v>696</v>
      </c>
      <c r="L155">
        <v>555</v>
      </c>
      <c r="M155">
        <f t="shared" si="6"/>
        <v>15</v>
      </c>
      <c r="N155">
        <f>($M:M-5)</f>
        <v>10</v>
      </c>
      <c r="O155">
        <f t="shared" si="8"/>
        <v>1</v>
      </c>
      <c r="P155" t="s">
        <v>671</v>
      </c>
    </row>
    <row r="156" spans="1:16" x14ac:dyDescent="0.35">
      <c r="A156" t="s">
        <v>163</v>
      </c>
      <c r="B156" s="1">
        <v>45328</v>
      </c>
      <c r="C156" t="s">
        <v>350</v>
      </c>
      <c r="D156" t="s">
        <v>408</v>
      </c>
      <c r="E156" t="s">
        <v>396</v>
      </c>
      <c r="F156">
        <v>4</v>
      </c>
      <c r="G156" t="s">
        <v>445</v>
      </c>
      <c r="H156" s="2" t="s">
        <v>592</v>
      </c>
      <c r="I156" t="s">
        <v>665</v>
      </c>
      <c r="J156" t="s">
        <v>698</v>
      </c>
      <c r="K156" t="s">
        <v>689</v>
      </c>
      <c r="L156">
        <v>12</v>
      </c>
      <c r="M156">
        <f t="shared" si="6"/>
        <v>15</v>
      </c>
      <c r="N156">
        <f>($M:M-5)</f>
        <v>10</v>
      </c>
      <c r="O156">
        <f t="shared" si="8"/>
        <v>1</v>
      </c>
      <c r="P156" t="s">
        <v>671</v>
      </c>
    </row>
    <row r="157" spans="1:16" x14ac:dyDescent="0.35">
      <c r="A157" t="s">
        <v>164</v>
      </c>
      <c r="B157" s="1">
        <v>45329</v>
      </c>
      <c r="C157" t="s">
        <v>351</v>
      </c>
      <c r="D157" t="s">
        <v>405</v>
      </c>
      <c r="E157" t="s">
        <v>397</v>
      </c>
      <c r="F157">
        <v>1</v>
      </c>
      <c r="G157" t="s">
        <v>483</v>
      </c>
      <c r="H157" s="2" t="s">
        <v>620</v>
      </c>
      <c r="I157" t="s">
        <v>665</v>
      </c>
      <c r="J157" t="s">
        <v>698</v>
      </c>
      <c r="K157" t="s">
        <v>689</v>
      </c>
      <c r="L157">
        <v>550</v>
      </c>
      <c r="M157">
        <f t="shared" si="6"/>
        <v>12</v>
      </c>
      <c r="N157">
        <f>($M:M-5)</f>
        <v>7</v>
      </c>
      <c r="O157">
        <f t="shared" si="8"/>
        <v>4</v>
      </c>
      <c r="P157" t="s">
        <v>671</v>
      </c>
    </row>
    <row r="158" spans="1:16" x14ac:dyDescent="0.35">
      <c r="A158" t="s">
        <v>165</v>
      </c>
      <c r="B158" s="1">
        <v>45696</v>
      </c>
      <c r="C158" t="s">
        <v>352</v>
      </c>
      <c r="D158" t="s">
        <v>411</v>
      </c>
      <c r="E158" t="s">
        <v>394</v>
      </c>
      <c r="F158">
        <v>4</v>
      </c>
      <c r="G158" t="s">
        <v>484</v>
      </c>
      <c r="H158" s="2" t="s">
        <v>621</v>
      </c>
      <c r="I158" t="s">
        <v>664</v>
      </c>
      <c r="J158" t="s">
        <v>698</v>
      </c>
      <c r="L158">
        <v>42</v>
      </c>
      <c r="M158">
        <f t="shared" si="6"/>
        <v>15</v>
      </c>
      <c r="N158">
        <f>($M:M-5)</f>
        <v>10</v>
      </c>
      <c r="O158">
        <f t="shared" si="8"/>
        <v>1</v>
      </c>
      <c r="P158" t="s">
        <v>671</v>
      </c>
    </row>
    <row r="159" spans="1:16" x14ac:dyDescent="0.35">
      <c r="A159" t="s">
        <v>166</v>
      </c>
      <c r="B159" s="1">
        <v>43870</v>
      </c>
      <c r="C159" t="s">
        <v>353</v>
      </c>
      <c r="D159" t="s">
        <v>402</v>
      </c>
      <c r="E159" t="s">
        <v>385</v>
      </c>
      <c r="F159">
        <v>2</v>
      </c>
      <c r="G159" t="s">
        <v>485</v>
      </c>
      <c r="H159" s="2" t="s">
        <v>622</v>
      </c>
      <c r="I159" t="s">
        <v>665</v>
      </c>
      <c r="J159" t="s">
        <v>698</v>
      </c>
      <c r="K159" t="s">
        <v>684</v>
      </c>
      <c r="L159">
        <v>2</v>
      </c>
      <c r="M159">
        <f t="shared" si="6"/>
        <v>13</v>
      </c>
      <c r="N159">
        <f>($M:M-5)</f>
        <v>8</v>
      </c>
      <c r="O159">
        <f t="shared" si="8"/>
        <v>3</v>
      </c>
      <c r="P159" t="s">
        <v>671</v>
      </c>
    </row>
    <row r="160" spans="1:16" x14ac:dyDescent="0.35">
      <c r="A160" t="s">
        <v>167</v>
      </c>
      <c r="B160" s="1">
        <v>45698</v>
      </c>
      <c r="C160" t="s">
        <v>354</v>
      </c>
      <c r="D160" t="s">
        <v>413</v>
      </c>
      <c r="E160" t="s">
        <v>398</v>
      </c>
      <c r="F160">
        <v>4</v>
      </c>
      <c r="G160" t="s">
        <v>486</v>
      </c>
      <c r="H160" s="2" t="s">
        <v>623</v>
      </c>
      <c r="I160" t="s">
        <v>666</v>
      </c>
      <c r="J160" t="s">
        <v>698</v>
      </c>
      <c r="K160" t="s">
        <v>689</v>
      </c>
      <c r="L160">
        <v>555</v>
      </c>
      <c r="M160">
        <f t="shared" si="6"/>
        <v>15</v>
      </c>
      <c r="N160">
        <f>($M:M-5)</f>
        <v>10</v>
      </c>
      <c r="O160">
        <f t="shared" si="8"/>
        <v>1</v>
      </c>
      <c r="P160" t="s">
        <v>671</v>
      </c>
    </row>
    <row r="161" spans="1:16" x14ac:dyDescent="0.35">
      <c r="A161" t="s">
        <v>168</v>
      </c>
      <c r="B161" s="1">
        <v>45699</v>
      </c>
      <c r="C161" t="s">
        <v>355</v>
      </c>
      <c r="D161" t="s">
        <v>409</v>
      </c>
      <c r="E161" t="s">
        <v>385</v>
      </c>
      <c r="F161">
        <v>2</v>
      </c>
      <c r="G161" t="s">
        <v>487</v>
      </c>
      <c r="H161" s="2" t="s">
        <v>624</v>
      </c>
      <c r="I161" t="s">
        <v>664</v>
      </c>
      <c r="J161" t="s">
        <v>698</v>
      </c>
      <c r="K161" t="s">
        <v>684</v>
      </c>
      <c r="L161">
        <v>2</v>
      </c>
      <c r="M161">
        <f t="shared" si="6"/>
        <v>13</v>
      </c>
      <c r="N161">
        <f>($M:M-5)</f>
        <v>8</v>
      </c>
      <c r="O161">
        <f t="shared" si="8"/>
        <v>3</v>
      </c>
      <c r="P161" t="s">
        <v>671</v>
      </c>
    </row>
    <row r="162" spans="1:16" x14ac:dyDescent="0.35">
      <c r="A162" t="s">
        <v>169</v>
      </c>
      <c r="B162" s="1">
        <v>45700</v>
      </c>
      <c r="C162" t="s">
        <v>356</v>
      </c>
      <c r="D162" t="s">
        <v>410</v>
      </c>
      <c r="E162" t="s">
        <v>385</v>
      </c>
      <c r="F162">
        <v>3</v>
      </c>
      <c r="G162" t="s">
        <v>488</v>
      </c>
      <c r="H162" s="2" t="s">
        <v>625</v>
      </c>
      <c r="I162" t="s">
        <v>670</v>
      </c>
      <c r="J162" t="s">
        <v>698</v>
      </c>
      <c r="K162" t="s">
        <v>684</v>
      </c>
      <c r="L162">
        <v>2</v>
      </c>
      <c r="M162">
        <f t="shared" ref="M162:M190" si="9">F:F+11</f>
        <v>14</v>
      </c>
      <c r="N162">
        <f>($M:M-5)</f>
        <v>9</v>
      </c>
      <c r="O162">
        <f t="shared" si="8"/>
        <v>2</v>
      </c>
      <c r="P162" t="s">
        <v>671</v>
      </c>
    </row>
    <row r="163" spans="1:16" x14ac:dyDescent="0.35">
      <c r="A163" t="s">
        <v>170</v>
      </c>
      <c r="B163" s="1">
        <v>45701</v>
      </c>
      <c r="C163" t="s">
        <v>357</v>
      </c>
      <c r="D163" t="s">
        <v>400</v>
      </c>
      <c r="E163" t="s">
        <v>386</v>
      </c>
      <c r="F163">
        <v>2</v>
      </c>
      <c r="G163" t="s">
        <v>489</v>
      </c>
      <c r="H163" s="2" t="s">
        <v>626</v>
      </c>
      <c r="I163" t="s">
        <v>668</v>
      </c>
      <c r="J163" t="s">
        <v>698</v>
      </c>
      <c r="L163">
        <v>345</v>
      </c>
      <c r="M163">
        <f t="shared" si="9"/>
        <v>13</v>
      </c>
      <c r="N163">
        <f>($M:M-5)</f>
        <v>8</v>
      </c>
      <c r="O163">
        <f t="shared" si="8"/>
        <v>3</v>
      </c>
      <c r="P163" t="s">
        <v>671</v>
      </c>
    </row>
    <row r="164" spans="1:16" x14ac:dyDescent="0.35">
      <c r="A164" t="s">
        <v>171</v>
      </c>
      <c r="B164" s="1">
        <v>45702</v>
      </c>
      <c r="C164" t="s">
        <v>358</v>
      </c>
      <c r="D164" t="s">
        <v>407</v>
      </c>
      <c r="E164" t="s">
        <v>386</v>
      </c>
      <c r="F164">
        <v>3</v>
      </c>
      <c r="G164" t="s">
        <v>490</v>
      </c>
      <c r="H164" s="2" t="s">
        <v>627</v>
      </c>
      <c r="I164" t="s">
        <v>669</v>
      </c>
      <c r="J164" t="s">
        <v>698</v>
      </c>
      <c r="L164">
        <v>345</v>
      </c>
      <c r="M164">
        <f t="shared" si="9"/>
        <v>14</v>
      </c>
      <c r="N164">
        <f>($M:M-5)</f>
        <v>9</v>
      </c>
      <c r="O164">
        <f t="shared" si="8"/>
        <v>2</v>
      </c>
      <c r="P164" t="s">
        <v>671</v>
      </c>
    </row>
    <row r="165" spans="1:16" x14ac:dyDescent="0.35">
      <c r="A165" t="s">
        <v>172</v>
      </c>
      <c r="B165" s="1">
        <v>45703</v>
      </c>
      <c r="C165" t="s">
        <v>359</v>
      </c>
      <c r="D165" t="s">
        <v>404</v>
      </c>
      <c r="E165" t="s">
        <v>391</v>
      </c>
      <c r="F165">
        <v>2</v>
      </c>
      <c r="G165" t="s">
        <v>491</v>
      </c>
      <c r="H165" s="2" t="s">
        <v>628</v>
      </c>
      <c r="I165" t="s">
        <v>665</v>
      </c>
      <c r="J165" t="s">
        <v>698</v>
      </c>
      <c r="K165" t="s">
        <v>689</v>
      </c>
      <c r="L165">
        <v>2</v>
      </c>
      <c r="M165">
        <f t="shared" si="9"/>
        <v>13</v>
      </c>
      <c r="N165">
        <f>($M:M-5)</f>
        <v>8</v>
      </c>
      <c r="O165">
        <f t="shared" si="8"/>
        <v>3</v>
      </c>
      <c r="P165" t="s">
        <v>672</v>
      </c>
    </row>
    <row r="166" spans="1:16" x14ac:dyDescent="0.35">
      <c r="A166" t="s">
        <v>173</v>
      </c>
      <c r="B166" s="1">
        <v>45704</v>
      </c>
      <c r="C166" t="s">
        <v>360</v>
      </c>
      <c r="D166" t="s">
        <v>411</v>
      </c>
      <c r="E166" t="s">
        <v>398</v>
      </c>
      <c r="F166">
        <v>2</v>
      </c>
      <c r="G166" t="s">
        <v>492</v>
      </c>
      <c r="H166" s="2" t="s">
        <v>629</v>
      </c>
      <c r="I166" t="s">
        <v>666</v>
      </c>
      <c r="J166" t="s">
        <v>698</v>
      </c>
      <c r="K166" t="s">
        <v>696</v>
      </c>
      <c r="L166">
        <v>555</v>
      </c>
      <c r="M166">
        <f t="shared" si="9"/>
        <v>13</v>
      </c>
      <c r="N166">
        <f>($M:M-5)</f>
        <v>8</v>
      </c>
      <c r="O166">
        <f t="shared" si="8"/>
        <v>3</v>
      </c>
      <c r="P166" t="s">
        <v>672</v>
      </c>
    </row>
    <row r="167" spans="1:16" x14ac:dyDescent="0.35">
      <c r="A167" t="s">
        <v>174</v>
      </c>
      <c r="B167" s="1">
        <v>45339</v>
      </c>
      <c r="C167" t="s">
        <v>361</v>
      </c>
      <c r="D167" t="s">
        <v>408</v>
      </c>
      <c r="E167" t="s">
        <v>386</v>
      </c>
      <c r="F167">
        <v>2</v>
      </c>
      <c r="G167" t="s">
        <v>479</v>
      </c>
      <c r="H167" s="2" t="s">
        <v>616</v>
      </c>
      <c r="I167" t="s">
        <v>668</v>
      </c>
      <c r="J167" t="s">
        <v>698</v>
      </c>
      <c r="L167">
        <v>345</v>
      </c>
      <c r="M167">
        <f t="shared" si="9"/>
        <v>13</v>
      </c>
      <c r="N167">
        <f>($M:M-5)</f>
        <v>8</v>
      </c>
      <c r="O167">
        <f t="shared" si="8"/>
        <v>3</v>
      </c>
      <c r="P167" t="s">
        <v>672</v>
      </c>
    </row>
    <row r="168" spans="1:16" x14ac:dyDescent="0.35">
      <c r="A168" t="s">
        <v>175</v>
      </c>
      <c r="B168" s="1">
        <v>45340</v>
      </c>
      <c r="C168" t="s">
        <v>362</v>
      </c>
      <c r="D168" t="s">
        <v>402</v>
      </c>
      <c r="E168" t="s">
        <v>397</v>
      </c>
      <c r="F168">
        <v>2</v>
      </c>
      <c r="G168" t="s">
        <v>493</v>
      </c>
      <c r="H168" s="2" t="s">
        <v>630</v>
      </c>
      <c r="I168" t="s">
        <v>667</v>
      </c>
      <c r="J168" t="s">
        <v>698</v>
      </c>
      <c r="K168" t="s">
        <v>689</v>
      </c>
      <c r="L168">
        <v>550</v>
      </c>
      <c r="M168">
        <f t="shared" si="9"/>
        <v>13</v>
      </c>
      <c r="N168">
        <f>($M:M-5)</f>
        <v>8</v>
      </c>
      <c r="O168">
        <f t="shared" si="8"/>
        <v>3</v>
      </c>
      <c r="P168" t="s">
        <v>672</v>
      </c>
    </row>
    <row r="169" spans="1:16" x14ac:dyDescent="0.35">
      <c r="A169" t="s">
        <v>176</v>
      </c>
      <c r="B169" s="1">
        <v>45341</v>
      </c>
      <c r="C169" t="s">
        <v>363</v>
      </c>
      <c r="D169" t="s">
        <v>405</v>
      </c>
      <c r="E169" t="s">
        <v>397</v>
      </c>
      <c r="F169">
        <v>2</v>
      </c>
      <c r="G169" t="s">
        <v>494</v>
      </c>
      <c r="H169" s="2" t="s">
        <v>631</v>
      </c>
      <c r="I169" t="s">
        <v>666</v>
      </c>
      <c r="J169" t="s">
        <v>698</v>
      </c>
      <c r="K169" t="s">
        <v>689</v>
      </c>
      <c r="L169">
        <v>550</v>
      </c>
      <c r="M169">
        <f t="shared" si="9"/>
        <v>13</v>
      </c>
      <c r="N169">
        <f>($M:M-5)</f>
        <v>8</v>
      </c>
      <c r="O169">
        <f t="shared" si="8"/>
        <v>3</v>
      </c>
      <c r="P169" t="s">
        <v>672</v>
      </c>
    </row>
    <row r="170" spans="1:16" x14ac:dyDescent="0.35">
      <c r="A170" t="s">
        <v>177</v>
      </c>
      <c r="B170" s="1">
        <v>45708</v>
      </c>
      <c r="C170" t="s">
        <v>364</v>
      </c>
      <c r="D170" t="s">
        <v>406</v>
      </c>
      <c r="E170" t="s">
        <v>398</v>
      </c>
      <c r="F170">
        <v>2</v>
      </c>
      <c r="G170" t="s">
        <v>495</v>
      </c>
      <c r="H170" s="2" t="s">
        <v>632</v>
      </c>
      <c r="I170" t="s">
        <v>665</v>
      </c>
      <c r="J170" t="s">
        <v>698</v>
      </c>
      <c r="K170" t="s">
        <v>696</v>
      </c>
      <c r="L170">
        <v>555</v>
      </c>
      <c r="M170">
        <f t="shared" si="9"/>
        <v>13</v>
      </c>
      <c r="N170">
        <f>($M:M-5)</f>
        <v>8</v>
      </c>
      <c r="O170">
        <f t="shared" si="8"/>
        <v>3</v>
      </c>
      <c r="P170" t="s">
        <v>672</v>
      </c>
    </row>
    <row r="171" spans="1:16" x14ac:dyDescent="0.35">
      <c r="A171" t="s">
        <v>178</v>
      </c>
      <c r="B171" s="1">
        <v>45343</v>
      </c>
      <c r="C171" t="s">
        <v>365</v>
      </c>
      <c r="D171" t="s">
        <v>411</v>
      </c>
      <c r="E171" t="s">
        <v>385</v>
      </c>
      <c r="F171">
        <v>7</v>
      </c>
      <c r="G171" t="s">
        <v>496</v>
      </c>
      <c r="H171" s="2" t="s">
        <v>633</v>
      </c>
      <c r="I171" t="s">
        <v>664</v>
      </c>
      <c r="J171" t="s">
        <v>698</v>
      </c>
      <c r="K171" t="s">
        <v>688</v>
      </c>
      <c r="L171">
        <v>2</v>
      </c>
      <c r="M171">
        <f t="shared" si="9"/>
        <v>18</v>
      </c>
      <c r="N171">
        <f>($M:M-5)</f>
        <v>13</v>
      </c>
      <c r="O171">
        <v>0</v>
      </c>
      <c r="P171" t="s">
        <v>671</v>
      </c>
    </row>
    <row r="172" spans="1:16" x14ac:dyDescent="0.35">
      <c r="A172" t="s">
        <v>179</v>
      </c>
      <c r="B172" s="1">
        <v>45710</v>
      </c>
      <c r="C172" t="s">
        <v>366</v>
      </c>
      <c r="D172" t="s">
        <v>408</v>
      </c>
      <c r="E172" t="s">
        <v>388</v>
      </c>
      <c r="F172">
        <v>3</v>
      </c>
      <c r="G172" t="s">
        <v>497</v>
      </c>
      <c r="H172" s="2" t="s">
        <v>634</v>
      </c>
      <c r="I172" t="s">
        <v>665</v>
      </c>
      <c r="J172" t="s">
        <v>698</v>
      </c>
      <c r="K172" t="s">
        <v>685</v>
      </c>
      <c r="L172">
        <v>77</v>
      </c>
      <c r="M172">
        <f t="shared" si="9"/>
        <v>14</v>
      </c>
      <c r="N172">
        <f>($M:M-5)</f>
        <v>9</v>
      </c>
      <c r="O172">
        <f>M:M-N:N-F:F</f>
        <v>2</v>
      </c>
      <c r="P172" t="s">
        <v>671</v>
      </c>
    </row>
    <row r="173" spans="1:16" x14ac:dyDescent="0.35">
      <c r="A173" t="s">
        <v>180</v>
      </c>
      <c r="B173" s="1">
        <v>43884</v>
      </c>
      <c r="C173" t="s">
        <v>367</v>
      </c>
      <c r="D173" t="s">
        <v>405</v>
      </c>
      <c r="E173" t="s">
        <v>386</v>
      </c>
      <c r="F173">
        <v>5</v>
      </c>
      <c r="G173" t="s">
        <v>498</v>
      </c>
      <c r="H173" s="2" t="s">
        <v>635</v>
      </c>
      <c r="I173" t="s">
        <v>668</v>
      </c>
      <c r="J173" t="s">
        <v>698</v>
      </c>
      <c r="L173">
        <v>555</v>
      </c>
      <c r="M173">
        <f t="shared" si="9"/>
        <v>16</v>
      </c>
      <c r="N173">
        <f>($M:M-5)</f>
        <v>11</v>
      </c>
      <c r="O173">
        <f>M:M-N:N-F:F</f>
        <v>0</v>
      </c>
      <c r="P173" t="s">
        <v>671</v>
      </c>
    </row>
    <row r="174" spans="1:16" x14ac:dyDescent="0.35">
      <c r="A174" t="s">
        <v>181</v>
      </c>
      <c r="B174" s="1">
        <v>43885</v>
      </c>
      <c r="C174" t="s">
        <v>368</v>
      </c>
      <c r="D174" t="s">
        <v>407</v>
      </c>
      <c r="E174" t="s">
        <v>394</v>
      </c>
      <c r="F174">
        <v>2</v>
      </c>
      <c r="G174" t="s">
        <v>462</v>
      </c>
      <c r="H174" s="2" t="s">
        <v>561</v>
      </c>
      <c r="I174" t="s">
        <v>667</v>
      </c>
      <c r="J174" t="s">
        <v>698</v>
      </c>
      <c r="L174">
        <v>42</v>
      </c>
      <c r="M174">
        <f t="shared" si="9"/>
        <v>13</v>
      </c>
      <c r="N174">
        <f>($M:M-5)</f>
        <v>8</v>
      </c>
      <c r="O174">
        <f>M:M-N:N-F:F</f>
        <v>3</v>
      </c>
      <c r="P174" t="s">
        <v>671</v>
      </c>
    </row>
    <row r="175" spans="1:16" x14ac:dyDescent="0.35">
      <c r="A175" t="s">
        <v>182</v>
      </c>
      <c r="B175" s="1">
        <v>43886</v>
      </c>
      <c r="C175" t="s">
        <v>369</v>
      </c>
      <c r="D175" t="s">
        <v>413</v>
      </c>
      <c r="E175" t="s">
        <v>396</v>
      </c>
      <c r="F175">
        <v>3</v>
      </c>
      <c r="G175" t="s">
        <v>499</v>
      </c>
      <c r="H175" s="2" t="s">
        <v>636</v>
      </c>
      <c r="I175" t="s">
        <v>666</v>
      </c>
      <c r="J175" t="s">
        <v>698</v>
      </c>
      <c r="K175" t="s">
        <v>689</v>
      </c>
      <c r="L175">
        <v>12</v>
      </c>
      <c r="M175">
        <f t="shared" si="9"/>
        <v>14</v>
      </c>
      <c r="N175">
        <f>($M:M-5)</f>
        <v>9</v>
      </c>
      <c r="O175">
        <f>M:M-N:N-F:F</f>
        <v>2</v>
      </c>
      <c r="P175" t="s">
        <v>672</v>
      </c>
    </row>
    <row r="176" spans="1:16" x14ac:dyDescent="0.35">
      <c r="A176" t="s">
        <v>183</v>
      </c>
      <c r="B176" s="1">
        <v>43887</v>
      </c>
      <c r="C176" t="s">
        <v>370</v>
      </c>
      <c r="D176" t="s">
        <v>410</v>
      </c>
      <c r="E176" t="s">
        <v>386</v>
      </c>
      <c r="F176">
        <v>1</v>
      </c>
      <c r="G176" t="s">
        <v>500</v>
      </c>
      <c r="H176" s="2" t="s">
        <v>637</v>
      </c>
      <c r="I176" t="s">
        <v>665</v>
      </c>
      <c r="J176" t="s">
        <v>698</v>
      </c>
      <c r="L176">
        <v>454</v>
      </c>
      <c r="M176">
        <f t="shared" si="9"/>
        <v>12</v>
      </c>
      <c r="N176">
        <f>($M:M-5)</f>
        <v>7</v>
      </c>
      <c r="O176">
        <f>M:M-N:N-F:F</f>
        <v>4</v>
      </c>
      <c r="P176" t="s">
        <v>671</v>
      </c>
    </row>
    <row r="177" spans="1:16" x14ac:dyDescent="0.35">
      <c r="A177" t="s">
        <v>184</v>
      </c>
      <c r="B177" s="1">
        <v>43888</v>
      </c>
      <c r="C177" t="s">
        <v>371</v>
      </c>
      <c r="D177" t="s">
        <v>400</v>
      </c>
      <c r="E177" t="s">
        <v>388</v>
      </c>
      <c r="F177">
        <v>8</v>
      </c>
      <c r="G177" t="s">
        <v>501</v>
      </c>
      <c r="H177" s="2" t="s">
        <v>638</v>
      </c>
      <c r="I177" t="s">
        <v>665</v>
      </c>
      <c r="J177" t="s">
        <v>698</v>
      </c>
      <c r="K177" t="s">
        <v>685</v>
      </c>
      <c r="L177">
        <v>77</v>
      </c>
      <c r="M177">
        <f t="shared" si="9"/>
        <v>19</v>
      </c>
      <c r="N177">
        <f>($M:M-5)</f>
        <v>14</v>
      </c>
      <c r="O177">
        <v>0</v>
      </c>
      <c r="P177" t="s">
        <v>671</v>
      </c>
    </row>
    <row r="178" spans="1:16" x14ac:dyDescent="0.35">
      <c r="A178" t="s">
        <v>185</v>
      </c>
      <c r="B178" s="1">
        <v>43889</v>
      </c>
      <c r="C178" t="s">
        <v>372</v>
      </c>
      <c r="D178" t="s">
        <v>411</v>
      </c>
      <c r="E178" t="s">
        <v>386</v>
      </c>
      <c r="F178">
        <v>3</v>
      </c>
      <c r="G178" t="s">
        <v>502</v>
      </c>
      <c r="H178" s="2" t="s">
        <v>639</v>
      </c>
      <c r="I178" t="s">
        <v>670</v>
      </c>
      <c r="J178" t="s">
        <v>698</v>
      </c>
      <c r="L178">
        <v>556</v>
      </c>
      <c r="M178">
        <f t="shared" si="9"/>
        <v>14</v>
      </c>
      <c r="N178">
        <f>($M:M-5)</f>
        <v>9</v>
      </c>
      <c r="O178">
        <f>M:M-N:N-F:F</f>
        <v>2</v>
      </c>
      <c r="P178" t="s">
        <v>672</v>
      </c>
    </row>
    <row r="179" spans="1:16" x14ac:dyDescent="0.35">
      <c r="A179" t="s">
        <v>186</v>
      </c>
      <c r="B179" s="1">
        <v>43890</v>
      </c>
      <c r="C179" t="s">
        <v>373</v>
      </c>
      <c r="D179" t="s">
        <v>408</v>
      </c>
      <c r="E179" t="s">
        <v>397</v>
      </c>
      <c r="F179">
        <v>2</v>
      </c>
      <c r="G179" t="s">
        <v>503</v>
      </c>
      <c r="H179" s="2" t="s">
        <v>640</v>
      </c>
      <c r="I179" t="s">
        <v>664</v>
      </c>
      <c r="J179" t="s">
        <v>698</v>
      </c>
      <c r="K179" t="s">
        <v>689</v>
      </c>
      <c r="L179">
        <v>550</v>
      </c>
      <c r="M179">
        <f t="shared" si="9"/>
        <v>13</v>
      </c>
      <c r="N179">
        <f>($M:M-5)</f>
        <v>8</v>
      </c>
      <c r="O179">
        <f>M:M-N:N-F:F</f>
        <v>3</v>
      </c>
      <c r="P179" t="s">
        <v>671</v>
      </c>
    </row>
    <row r="180" spans="1:16" x14ac:dyDescent="0.35">
      <c r="A180" t="s">
        <v>187</v>
      </c>
      <c r="B180" s="1">
        <v>43891</v>
      </c>
      <c r="C180" t="s">
        <v>374</v>
      </c>
      <c r="D180" t="s">
        <v>404</v>
      </c>
      <c r="E180" t="s">
        <v>398</v>
      </c>
      <c r="F180">
        <v>4</v>
      </c>
      <c r="G180" t="s">
        <v>504</v>
      </c>
      <c r="H180" s="2" t="s">
        <v>641</v>
      </c>
      <c r="I180" t="s">
        <v>670</v>
      </c>
      <c r="J180" t="s">
        <v>698</v>
      </c>
      <c r="L180">
        <v>555</v>
      </c>
      <c r="M180">
        <f t="shared" si="9"/>
        <v>15</v>
      </c>
      <c r="N180">
        <f>($M:M-5)</f>
        <v>10</v>
      </c>
      <c r="O180">
        <f>M:M-N:N-F:F</f>
        <v>1</v>
      </c>
      <c r="P180" t="s">
        <v>671</v>
      </c>
    </row>
    <row r="181" spans="1:16" x14ac:dyDescent="0.35">
      <c r="A181" t="s">
        <v>188</v>
      </c>
      <c r="B181" s="1">
        <v>43892</v>
      </c>
      <c r="C181" t="s">
        <v>375</v>
      </c>
      <c r="D181" t="s">
        <v>405</v>
      </c>
      <c r="E181" t="s">
        <v>396</v>
      </c>
      <c r="F181">
        <v>9</v>
      </c>
      <c r="G181" t="s">
        <v>505</v>
      </c>
      <c r="H181" s="2" t="s">
        <v>642</v>
      </c>
      <c r="I181" t="s">
        <v>664</v>
      </c>
      <c r="J181" t="s">
        <v>698</v>
      </c>
      <c r="K181" t="s">
        <v>689</v>
      </c>
      <c r="L181">
        <v>12</v>
      </c>
      <c r="M181">
        <f t="shared" si="9"/>
        <v>20</v>
      </c>
      <c r="N181">
        <f>($M:M-5)</f>
        <v>15</v>
      </c>
      <c r="O181">
        <v>0</v>
      </c>
      <c r="P181" t="s">
        <v>671</v>
      </c>
    </row>
    <row r="182" spans="1:16" x14ac:dyDescent="0.35">
      <c r="A182" t="s">
        <v>189</v>
      </c>
      <c r="B182" s="1">
        <v>43893</v>
      </c>
      <c r="C182" t="s">
        <v>376</v>
      </c>
      <c r="D182" t="s">
        <v>406</v>
      </c>
      <c r="E182" t="s">
        <v>396</v>
      </c>
      <c r="F182">
        <v>2</v>
      </c>
      <c r="G182" t="s">
        <v>454</v>
      </c>
      <c r="H182" s="2" t="s">
        <v>601</v>
      </c>
      <c r="I182" t="s">
        <v>665</v>
      </c>
      <c r="J182" t="s">
        <v>698</v>
      </c>
      <c r="K182" t="s">
        <v>689</v>
      </c>
      <c r="L182">
        <v>12</v>
      </c>
      <c r="M182">
        <f t="shared" si="9"/>
        <v>13</v>
      </c>
      <c r="N182">
        <f>($M:M-5)</f>
        <v>8</v>
      </c>
      <c r="O182">
        <f>M:M-N:N-F:F</f>
        <v>3</v>
      </c>
      <c r="P182" t="s">
        <v>671</v>
      </c>
    </row>
    <row r="183" spans="1:16" x14ac:dyDescent="0.35">
      <c r="A183" t="s">
        <v>190</v>
      </c>
      <c r="B183" s="1">
        <v>43894</v>
      </c>
      <c r="C183" t="s">
        <v>377</v>
      </c>
      <c r="D183" t="s">
        <v>404</v>
      </c>
      <c r="E183" t="s">
        <v>386</v>
      </c>
      <c r="F183">
        <v>3</v>
      </c>
      <c r="G183" t="s">
        <v>506</v>
      </c>
      <c r="H183" s="2" t="s">
        <v>643</v>
      </c>
      <c r="I183" t="s">
        <v>665</v>
      </c>
      <c r="J183" t="s">
        <v>698</v>
      </c>
      <c r="L183">
        <v>345</v>
      </c>
      <c r="M183">
        <f t="shared" si="9"/>
        <v>14</v>
      </c>
      <c r="N183">
        <f>($M:M-5)</f>
        <v>9</v>
      </c>
      <c r="O183">
        <f>M:M-N:N-F:F</f>
        <v>2</v>
      </c>
      <c r="P183" t="s">
        <v>671</v>
      </c>
    </row>
    <row r="184" spans="1:16" x14ac:dyDescent="0.35">
      <c r="A184" t="s">
        <v>191</v>
      </c>
      <c r="B184" s="1">
        <v>43895</v>
      </c>
      <c r="C184" t="s">
        <v>378</v>
      </c>
      <c r="D184" t="s">
        <v>402</v>
      </c>
      <c r="E184" t="s">
        <v>395</v>
      </c>
      <c r="F184">
        <v>9</v>
      </c>
      <c r="G184" t="s">
        <v>507</v>
      </c>
      <c r="H184" s="2" t="s">
        <v>644</v>
      </c>
      <c r="I184" t="s">
        <v>665</v>
      </c>
      <c r="J184" t="s">
        <v>698</v>
      </c>
      <c r="K184" t="s">
        <v>692</v>
      </c>
      <c r="L184">
        <v>32</v>
      </c>
      <c r="M184">
        <f t="shared" si="9"/>
        <v>20</v>
      </c>
      <c r="N184">
        <f>($M:M-5)</f>
        <v>15</v>
      </c>
      <c r="O184">
        <v>0</v>
      </c>
      <c r="P184" t="s">
        <v>671</v>
      </c>
    </row>
    <row r="185" spans="1:16" x14ac:dyDescent="0.35">
      <c r="A185" t="s">
        <v>192</v>
      </c>
      <c r="B185" s="1">
        <v>43896</v>
      </c>
      <c r="C185" t="s">
        <v>379</v>
      </c>
      <c r="D185" t="s">
        <v>400</v>
      </c>
      <c r="E185" t="s">
        <v>388</v>
      </c>
      <c r="F185">
        <v>2</v>
      </c>
      <c r="G185" t="s">
        <v>508</v>
      </c>
      <c r="H185" s="2" t="s">
        <v>645</v>
      </c>
      <c r="I185" t="s">
        <v>669</v>
      </c>
      <c r="J185" t="s">
        <v>698</v>
      </c>
      <c r="K185" t="s">
        <v>685</v>
      </c>
      <c r="L185">
        <v>77</v>
      </c>
      <c r="M185">
        <f t="shared" si="9"/>
        <v>13</v>
      </c>
      <c r="N185">
        <f>($M:M-5)</f>
        <v>8</v>
      </c>
      <c r="O185">
        <f>M:M-N:N-F:F</f>
        <v>3</v>
      </c>
      <c r="P185" t="s">
        <v>672</v>
      </c>
    </row>
    <row r="186" spans="1:16" x14ac:dyDescent="0.35">
      <c r="A186" t="s">
        <v>193</v>
      </c>
      <c r="B186" s="1">
        <v>43897</v>
      </c>
      <c r="C186" t="s">
        <v>380</v>
      </c>
      <c r="D186" t="s">
        <v>407</v>
      </c>
      <c r="E186" t="s">
        <v>388</v>
      </c>
      <c r="F186">
        <v>6</v>
      </c>
      <c r="G186" t="s">
        <v>509</v>
      </c>
      <c r="H186" s="2" t="s">
        <v>646</v>
      </c>
      <c r="I186" t="s">
        <v>670</v>
      </c>
      <c r="J186" t="s">
        <v>698</v>
      </c>
      <c r="K186" t="s">
        <v>685</v>
      </c>
      <c r="L186">
        <v>77</v>
      </c>
      <c r="M186">
        <f t="shared" si="9"/>
        <v>17</v>
      </c>
      <c r="N186">
        <f>($M:M-5)</f>
        <v>12</v>
      </c>
      <c r="O186">
        <v>0</v>
      </c>
      <c r="P186" t="s">
        <v>671</v>
      </c>
    </row>
    <row r="187" spans="1:16" x14ac:dyDescent="0.35">
      <c r="A187" t="s">
        <v>194</v>
      </c>
      <c r="B187" s="1">
        <v>43898</v>
      </c>
      <c r="C187" t="s">
        <v>381</v>
      </c>
      <c r="D187" t="s">
        <v>404</v>
      </c>
      <c r="E187" t="s">
        <v>385</v>
      </c>
      <c r="F187">
        <v>2</v>
      </c>
      <c r="G187" t="s">
        <v>510</v>
      </c>
      <c r="H187" s="2" t="s">
        <v>647</v>
      </c>
      <c r="I187" t="s">
        <v>667</v>
      </c>
      <c r="J187" t="s">
        <v>698</v>
      </c>
      <c r="K187" t="s">
        <v>684</v>
      </c>
      <c r="L187">
        <v>2</v>
      </c>
      <c r="M187">
        <f t="shared" si="9"/>
        <v>13</v>
      </c>
      <c r="N187">
        <f>($M:M-5)</f>
        <v>8</v>
      </c>
      <c r="O187">
        <f>M:M-N:N-F:F</f>
        <v>3</v>
      </c>
      <c r="P187" t="s">
        <v>671</v>
      </c>
    </row>
    <row r="188" spans="1:16" x14ac:dyDescent="0.35">
      <c r="A188" t="s">
        <v>195</v>
      </c>
      <c r="B188" s="1">
        <v>43899</v>
      </c>
      <c r="C188" t="s">
        <v>382</v>
      </c>
      <c r="D188" t="s">
        <v>408</v>
      </c>
      <c r="E188" t="s">
        <v>391</v>
      </c>
      <c r="F188">
        <v>6</v>
      </c>
      <c r="G188" t="s">
        <v>511</v>
      </c>
      <c r="H188" s="2" t="s">
        <v>648</v>
      </c>
      <c r="I188" t="s">
        <v>669</v>
      </c>
      <c r="J188" t="s">
        <v>698</v>
      </c>
      <c r="K188" t="s">
        <v>697</v>
      </c>
      <c r="L188">
        <v>1</v>
      </c>
      <c r="M188">
        <f t="shared" si="9"/>
        <v>17</v>
      </c>
      <c r="N188">
        <f>($M:M-5)</f>
        <v>12</v>
      </c>
      <c r="O188">
        <v>0</v>
      </c>
      <c r="P188" t="s">
        <v>671</v>
      </c>
    </row>
    <row r="189" spans="1:16" x14ac:dyDescent="0.35">
      <c r="A189" t="s">
        <v>196</v>
      </c>
      <c r="B189" s="1">
        <v>43900</v>
      </c>
      <c r="C189" t="s">
        <v>383</v>
      </c>
      <c r="D189" t="s">
        <v>402</v>
      </c>
      <c r="E189" t="s">
        <v>386</v>
      </c>
      <c r="F189">
        <v>2</v>
      </c>
      <c r="G189" t="s">
        <v>512</v>
      </c>
      <c r="H189" s="2" t="s">
        <v>649</v>
      </c>
      <c r="I189" t="s">
        <v>670</v>
      </c>
      <c r="J189" t="s">
        <v>698</v>
      </c>
      <c r="L189">
        <v>345</v>
      </c>
      <c r="M189">
        <f t="shared" si="9"/>
        <v>13</v>
      </c>
      <c r="N189">
        <f>($M:M-5)</f>
        <v>8</v>
      </c>
      <c r="O189">
        <f>M:M-N:N-F:F</f>
        <v>3</v>
      </c>
      <c r="P189" t="s">
        <v>671</v>
      </c>
    </row>
    <row r="190" spans="1:16" x14ac:dyDescent="0.35">
      <c r="A190" t="s">
        <v>197</v>
      </c>
      <c r="B190" s="1">
        <v>44266</v>
      </c>
      <c r="C190" t="s">
        <v>384</v>
      </c>
      <c r="D190" t="s">
        <v>404</v>
      </c>
      <c r="E190" t="s">
        <v>391</v>
      </c>
      <c r="F190">
        <v>4</v>
      </c>
      <c r="G190" t="s">
        <v>513</v>
      </c>
      <c r="H190" s="2" t="s">
        <v>650</v>
      </c>
      <c r="I190" t="s">
        <v>665</v>
      </c>
      <c r="J190" t="s">
        <v>698</v>
      </c>
      <c r="K190" t="s">
        <v>697</v>
      </c>
      <c r="L190">
        <v>1</v>
      </c>
      <c r="M190">
        <f t="shared" si="9"/>
        <v>15</v>
      </c>
      <c r="N190">
        <f>($M:M-5)</f>
        <v>10</v>
      </c>
      <c r="O190">
        <f>M:M-N:N-F:F</f>
        <v>1</v>
      </c>
      <c r="P190" t="s">
        <v>672</v>
      </c>
    </row>
  </sheetData>
  <hyperlinks>
    <hyperlink ref="H2" r:id="rId1"/>
    <hyperlink ref="H3:H22" r:id="rId2" display="zai12@gmail.com"/>
    <hyperlink ref="H3" r:id="rId3"/>
    <hyperlink ref="H4" r:id="rId4"/>
    <hyperlink ref="H5" r:id="rId5"/>
    <hyperlink ref="H6" r:id="rId6"/>
    <hyperlink ref="H8" r:id="rId7"/>
    <hyperlink ref="H9" r:id="rId8"/>
    <hyperlink ref="H11" r:id="rId9"/>
    <hyperlink ref="H17" r:id="rId10"/>
    <hyperlink ref="H41" r:id="rId11"/>
    <hyperlink ref="H42" r:id="rId12"/>
    <hyperlink ref="H76" r:id="rId13"/>
    <hyperlink ref="H116" r:id="rId14"/>
    <hyperlink ref="H190" r:id="rId15"/>
    <hyperlink ref="H189" r:id="rId16"/>
    <hyperlink ref="H188" r:id="rId17"/>
    <hyperlink ref="H187" r:id="rId18"/>
    <hyperlink ref="H186" r:id="rId19"/>
    <hyperlink ref="H185" r:id="rId20"/>
    <hyperlink ref="H184" r:id="rId21"/>
    <hyperlink ref="H183" r:id="rId22"/>
    <hyperlink ref="H182" r:id="rId23"/>
    <hyperlink ref="H181" r:id="rId24"/>
    <hyperlink ref="H180" r:id="rId25"/>
    <hyperlink ref="H179" r:id="rId26"/>
    <hyperlink ref="H178" r:id="rId27"/>
    <hyperlink ref="H177" r:id="rId28"/>
    <hyperlink ref="H176" r:id="rId29"/>
    <hyperlink ref="H175" r:id="rId30"/>
    <hyperlink ref="H174" r:id="rId31"/>
    <hyperlink ref="H173" r:id="rId32"/>
    <hyperlink ref="H172" r:id="rId33"/>
    <hyperlink ref="H171" r:id="rId34"/>
    <hyperlink ref="H170" r:id="rId35"/>
    <hyperlink ref="H169" r:id="rId36"/>
    <hyperlink ref="H168" r:id="rId37"/>
    <hyperlink ref="H167" r:id="rId38"/>
    <hyperlink ref="H166" r:id="rId39"/>
    <hyperlink ref="H165" r:id="rId40"/>
    <hyperlink ref="H164" r:id="rId41"/>
    <hyperlink ref="H163" r:id="rId42"/>
    <hyperlink ref="H162" r:id="rId43"/>
    <hyperlink ref="H161" r:id="rId44"/>
    <hyperlink ref="H160" r:id="rId45"/>
    <hyperlink ref="H159" r:id="rId46"/>
    <hyperlink ref="H158" r:id="rId47"/>
    <hyperlink ref="H157" r:id="rId48"/>
    <hyperlink ref="H156" r:id="rId49"/>
    <hyperlink ref="H155" r:id="rId50"/>
    <hyperlink ref="H154" r:id="rId51"/>
    <hyperlink ref="H153" r:id="rId52"/>
    <hyperlink ref="H152" r:id="rId53"/>
    <hyperlink ref="H151" r:id="rId54"/>
    <hyperlink ref="H150" r:id="rId55"/>
    <hyperlink ref="H149" r:id="rId56"/>
    <hyperlink ref="H148" r:id="rId57"/>
    <hyperlink ref="H147" r:id="rId58"/>
    <hyperlink ref="H146" r:id="rId59"/>
    <hyperlink ref="H145" r:id="rId60"/>
    <hyperlink ref="H144" r:id="rId61"/>
    <hyperlink ref="H143" r:id="rId62"/>
    <hyperlink ref="H142" r:id="rId63"/>
    <hyperlink ref="H141" r:id="rId64"/>
    <hyperlink ref="H139" r:id="rId65"/>
    <hyperlink ref="H138" r:id="rId66"/>
    <hyperlink ref="H137" r:id="rId67"/>
    <hyperlink ref="H136" r:id="rId68"/>
    <hyperlink ref="H135" r:id="rId69"/>
    <hyperlink ref="H134" r:id="rId70"/>
    <hyperlink ref="H133" r:id="rId71"/>
    <hyperlink ref="H132" r:id="rId72"/>
    <hyperlink ref="H131" r:id="rId73"/>
    <hyperlink ref="H130" r:id="rId74"/>
    <hyperlink ref="H129" r:id="rId75"/>
    <hyperlink ref="H128" r:id="rId76"/>
    <hyperlink ref="H127" r:id="rId77"/>
    <hyperlink ref="H126" r:id="rId78"/>
    <hyperlink ref="H125" r:id="rId79"/>
    <hyperlink ref="H124" r:id="rId80"/>
    <hyperlink ref="H123" r:id="rId81"/>
    <hyperlink ref="H122" r:id="rId82"/>
    <hyperlink ref="H121" r:id="rId83"/>
    <hyperlink ref="H120" r:id="rId84"/>
    <hyperlink ref="H119" r:id="rId85"/>
    <hyperlink ref="H118" r:id="rId86"/>
    <hyperlink ref="H117" r:id="rId87"/>
    <hyperlink ref="H115" r:id="rId88"/>
    <hyperlink ref="H114" r:id="rId89"/>
    <hyperlink ref="H113" r:id="rId90"/>
    <hyperlink ref="H112" r:id="rId91"/>
    <hyperlink ref="H111" r:id="rId92"/>
    <hyperlink ref="H110" r:id="rId93"/>
    <hyperlink ref="H109" r:id="rId94"/>
    <hyperlink ref="H108" r:id="rId95"/>
    <hyperlink ref="H107" r:id="rId96"/>
    <hyperlink ref="H106" r:id="rId97"/>
    <hyperlink ref="H105" r:id="rId98"/>
    <hyperlink ref="H104" r:id="rId99"/>
    <hyperlink ref="H103" r:id="rId100"/>
    <hyperlink ref="H102" r:id="rId101"/>
    <hyperlink ref="H101" r:id="rId102"/>
    <hyperlink ref="H100" r:id="rId103"/>
    <hyperlink ref="H99" r:id="rId104"/>
    <hyperlink ref="H98" r:id="rId105"/>
    <hyperlink ref="H97" r:id="rId106"/>
    <hyperlink ref="H96" r:id="rId107"/>
    <hyperlink ref="H95" r:id="rId108"/>
    <hyperlink ref="H94" r:id="rId109"/>
    <hyperlink ref="H93" r:id="rId110"/>
    <hyperlink ref="H92" r:id="rId111"/>
    <hyperlink ref="H91" r:id="rId112"/>
    <hyperlink ref="H90" r:id="rId113"/>
    <hyperlink ref="H89" r:id="rId114"/>
    <hyperlink ref="H88" r:id="rId115"/>
    <hyperlink ref="H87" r:id="rId116"/>
    <hyperlink ref="H86" r:id="rId117"/>
    <hyperlink ref="H85" r:id="rId118"/>
    <hyperlink ref="H84" r:id="rId119"/>
    <hyperlink ref="H83" r:id="rId120"/>
    <hyperlink ref="H82" r:id="rId121"/>
    <hyperlink ref="H81" r:id="rId122"/>
    <hyperlink ref="H80" r:id="rId123"/>
    <hyperlink ref="H79" r:id="rId124"/>
    <hyperlink ref="H78" r:id="rId125"/>
    <hyperlink ref="H77" r:id="rId126"/>
    <hyperlink ref="H75" r:id="rId127"/>
    <hyperlink ref="H74" r:id="rId128"/>
    <hyperlink ref="H73" r:id="rId129"/>
    <hyperlink ref="H72" r:id="rId130"/>
    <hyperlink ref="H71" r:id="rId131"/>
    <hyperlink ref="H70" r:id="rId132"/>
    <hyperlink ref="H69" r:id="rId133"/>
    <hyperlink ref="H68" r:id="rId134"/>
    <hyperlink ref="H67" r:id="rId135"/>
    <hyperlink ref="H66" r:id="rId136"/>
    <hyperlink ref="H65" r:id="rId137"/>
    <hyperlink ref="H64" r:id="rId138"/>
    <hyperlink ref="H63" r:id="rId139"/>
    <hyperlink ref="H62" r:id="rId140"/>
    <hyperlink ref="H61" r:id="rId141"/>
    <hyperlink ref="H60" r:id="rId142"/>
    <hyperlink ref="H59" r:id="rId143"/>
    <hyperlink ref="H58" r:id="rId144"/>
    <hyperlink ref="H57" r:id="rId145"/>
    <hyperlink ref="H56" r:id="rId146"/>
    <hyperlink ref="H55" r:id="rId147"/>
    <hyperlink ref="H54" r:id="rId148"/>
    <hyperlink ref="H53" r:id="rId149"/>
    <hyperlink ref="H52" r:id="rId150"/>
    <hyperlink ref="H51" r:id="rId151"/>
    <hyperlink ref="H50" r:id="rId152"/>
    <hyperlink ref="H49" r:id="rId153"/>
    <hyperlink ref="H48" r:id="rId154"/>
    <hyperlink ref="H47" r:id="rId155"/>
    <hyperlink ref="H46" r:id="rId156"/>
    <hyperlink ref="H45" r:id="rId157"/>
    <hyperlink ref="H44" r:id="rId158"/>
    <hyperlink ref="H43" r:id="rId159"/>
    <hyperlink ref="H40" r:id="rId160"/>
    <hyperlink ref="H39" r:id="rId161"/>
    <hyperlink ref="H38" r:id="rId162"/>
    <hyperlink ref="H38:H46" r:id="rId163" display="zai12@gmail.com"/>
    <hyperlink ref="H37" r:id="rId164"/>
    <hyperlink ref="H36" r:id="rId165"/>
    <hyperlink ref="H35" r:id="rId166"/>
    <hyperlink ref="H34" r:id="rId167"/>
    <hyperlink ref="H33" r:id="rId168"/>
    <hyperlink ref="H32" r:id="rId169"/>
    <hyperlink ref="H31" r:id="rId170"/>
    <hyperlink ref="H30" r:id="rId171"/>
    <hyperlink ref="H29" r:id="rId172"/>
    <hyperlink ref="H28" r:id="rId173"/>
    <hyperlink ref="H27" r:id="rId174"/>
    <hyperlink ref="H26" r:id="rId175"/>
    <hyperlink ref="H25" r:id="rId176"/>
    <hyperlink ref="H24" r:id="rId177"/>
    <hyperlink ref="H23" r:id="rId178"/>
    <hyperlink ref="H23:H37" r:id="rId179" display="zai12@gmail.com"/>
    <hyperlink ref="H22" r:id="rId180"/>
    <hyperlink ref="H21" r:id="rId181"/>
    <hyperlink ref="H20" r:id="rId182"/>
    <hyperlink ref="H19" r:id="rId183"/>
    <hyperlink ref="H18" r:id="rId184"/>
    <hyperlink ref="H16" r:id="rId185"/>
    <hyperlink ref="H15" r:id="rId186"/>
    <hyperlink ref="H14" r:id="rId187"/>
    <hyperlink ref="H13" r:id="rId188"/>
    <hyperlink ref="H12" r:id="rId189"/>
    <hyperlink ref="H10" r:id="rId190"/>
    <hyperlink ref="H7" r:id="rId191"/>
  </hyperlinks>
  <pageMargins left="0.7" right="0.7" top="0.75" bottom="0.75" header="0.3" footer="0.3"/>
  <tableParts count="1">
    <tablePart r:id="rId19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0"/>
  <sheetViews>
    <sheetView topLeftCell="A166" zoomScale="85" zoomScaleNormal="85" workbookViewId="0">
      <selection activeCell="F191" sqref="F191"/>
    </sheetView>
  </sheetViews>
  <sheetFormatPr defaultRowHeight="14.5" x14ac:dyDescent="0.35"/>
  <cols>
    <col min="1" max="1" width="19.36328125" customWidth="1"/>
    <col min="2" max="2" width="12.36328125" customWidth="1"/>
    <col min="3" max="3" width="20" customWidth="1"/>
    <col min="4" max="4" width="14.36328125" customWidth="1"/>
    <col min="5" max="5" width="24.26953125" customWidth="1"/>
    <col min="6" max="6" width="14.1796875" customWidth="1"/>
    <col min="7" max="7" width="11.453125" customWidth="1"/>
  </cols>
  <sheetData>
    <row r="1" spans="1:8" x14ac:dyDescent="0.35">
      <c r="A1" t="s">
        <v>0</v>
      </c>
      <c r="B1" t="s">
        <v>414</v>
      </c>
      <c r="C1" t="s">
        <v>3</v>
      </c>
      <c r="D1" t="s">
        <v>415</v>
      </c>
      <c r="E1" t="s">
        <v>416</v>
      </c>
      <c r="F1" t="s">
        <v>4</v>
      </c>
      <c r="G1" t="s">
        <v>417</v>
      </c>
      <c r="H1" t="s">
        <v>418</v>
      </c>
    </row>
    <row r="2" spans="1:8" x14ac:dyDescent="0.35">
      <c r="A2" t="s">
        <v>198</v>
      </c>
      <c r="B2" t="s">
        <v>419</v>
      </c>
      <c r="C2" s="2" t="s">
        <v>514</v>
      </c>
      <c r="E2" t="s">
        <v>651</v>
      </c>
      <c r="F2" t="s">
        <v>670</v>
      </c>
      <c r="G2">
        <v>105232</v>
      </c>
      <c r="H2" t="s">
        <v>671</v>
      </c>
    </row>
    <row r="3" spans="1:8" x14ac:dyDescent="0.35">
      <c r="A3" t="s">
        <v>199</v>
      </c>
      <c r="B3" t="s">
        <v>420</v>
      </c>
      <c r="C3" s="2" t="s">
        <v>515</v>
      </c>
      <c r="E3" t="s">
        <v>652</v>
      </c>
      <c r="F3" t="s">
        <v>670</v>
      </c>
      <c r="G3">
        <v>105232</v>
      </c>
      <c r="H3" t="s">
        <v>671</v>
      </c>
    </row>
    <row r="4" spans="1:8" x14ac:dyDescent="0.35">
      <c r="A4" t="s">
        <v>200</v>
      </c>
      <c r="B4" t="s">
        <v>421</v>
      </c>
      <c r="C4" s="2" t="s">
        <v>516</v>
      </c>
      <c r="E4" t="s">
        <v>653</v>
      </c>
      <c r="F4" t="s">
        <v>670</v>
      </c>
      <c r="G4">
        <v>105232</v>
      </c>
      <c r="H4" t="s">
        <v>671</v>
      </c>
    </row>
    <row r="5" spans="1:8" x14ac:dyDescent="0.35">
      <c r="A5" t="s">
        <v>201</v>
      </c>
      <c r="B5" t="s">
        <v>422</v>
      </c>
      <c r="C5" s="2" t="s">
        <v>517</v>
      </c>
      <c r="E5" t="s">
        <v>654</v>
      </c>
      <c r="F5" t="s">
        <v>665</v>
      </c>
      <c r="G5">
        <v>237891</v>
      </c>
      <c r="H5" t="s">
        <v>671</v>
      </c>
    </row>
    <row r="6" spans="1:8" x14ac:dyDescent="0.35">
      <c r="A6" t="s">
        <v>202</v>
      </c>
      <c r="B6" t="s">
        <v>423</v>
      </c>
      <c r="C6" s="2" t="s">
        <v>518</v>
      </c>
      <c r="E6" t="s">
        <v>651</v>
      </c>
      <c r="F6" t="s">
        <v>670</v>
      </c>
      <c r="G6">
        <v>105232</v>
      </c>
      <c r="H6" t="s">
        <v>671</v>
      </c>
    </row>
    <row r="7" spans="1:8" x14ac:dyDescent="0.35">
      <c r="A7" t="s">
        <v>203</v>
      </c>
      <c r="B7" t="s">
        <v>424</v>
      </c>
      <c r="C7" s="2" t="s">
        <v>519</v>
      </c>
      <c r="E7" t="s">
        <v>655</v>
      </c>
      <c r="F7" t="s">
        <v>665</v>
      </c>
      <c r="G7">
        <v>237891</v>
      </c>
      <c r="H7" t="s">
        <v>672</v>
      </c>
    </row>
    <row r="8" spans="1:8" x14ac:dyDescent="0.35">
      <c r="A8" t="s">
        <v>204</v>
      </c>
      <c r="B8" t="s">
        <v>425</v>
      </c>
      <c r="C8" s="2" t="s">
        <v>520</v>
      </c>
      <c r="E8" t="s">
        <v>656</v>
      </c>
      <c r="F8" t="s">
        <v>669</v>
      </c>
      <c r="G8">
        <v>724351</v>
      </c>
      <c r="H8" t="s">
        <v>671</v>
      </c>
    </row>
    <row r="9" spans="1:8" x14ac:dyDescent="0.35">
      <c r="A9" t="s">
        <v>205</v>
      </c>
      <c r="B9" t="s">
        <v>426</v>
      </c>
      <c r="C9" s="2" t="s">
        <v>521</v>
      </c>
      <c r="E9" t="s">
        <v>652</v>
      </c>
      <c r="F9" t="s">
        <v>670</v>
      </c>
      <c r="G9">
        <v>105232</v>
      </c>
      <c r="H9" t="s">
        <v>671</v>
      </c>
    </row>
    <row r="10" spans="1:8" x14ac:dyDescent="0.35">
      <c r="A10" t="s">
        <v>206</v>
      </c>
      <c r="B10" t="s">
        <v>427</v>
      </c>
      <c r="C10" s="2" t="s">
        <v>522</v>
      </c>
      <c r="E10" t="s">
        <v>656</v>
      </c>
      <c r="F10" t="s">
        <v>669</v>
      </c>
      <c r="G10">
        <v>724351</v>
      </c>
      <c r="H10" t="s">
        <v>671</v>
      </c>
    </row>
    <row r="11" spans="1:8" x14ac:dyDescent="0.35">
      <c r="A11" t="s">
        <v>207</v>
      </c>
      <c r="B11" t="s">
        <v>428</v>
      </c>
      <c r="C11" s="2" t="s">
        <v>523</v>
      </c>
      <c r="E11" t="s">
        <v>657</v>
      </c>
      <c r="F11" t="s">
        <v>665</v>
      </c>
      <c r="G11">
        <v>237891</v>
      </c>
      <c r="H11" t="s">
        <v>671</v>
      </c>
    </row>
    <row r="12" spans="1:8" x14ac:dyDescent="0.35">
      <c r="A12" t="s">
        <v>208</v>
      </c>
      <c r="B12" t="s">
        <v>429</v>
      </c>
      <c r="C12" s="2" t="s">
        <v>524</v>
      </c>
      <c r="E12" t="s">
        <v>658</v>
      </c>
      <c r="F12" t="s">
        <v>667</v>
      </c>
      <c r="G12">
        <v>626266</v>
      </c>
      <c r="H12" t="s">
        <v>672</v>
      </c>
    </row>
    <row r="13" spans="1:8" x14ac:dyDescent="0.35">
      <c r="A13" t="s">
        <v>209</v>
      </c>
      <c r="B13" t="s">
        <v>430</v>
      </c>
      <c r="C13" s="2" t="s">
        <v>525</v>
      </c>
      <c r="E13" t="s">
        <v>655</v>
      </c>
      <c r="F13" t="s">
        <v>665</v>
      </c>
      <c r="G13">
        <v>237891</v>
      </c>
      <c r="H13" t="s">
        <v>672</v>
      </c>
    </row>
    <row r="14" spans="1:8" x14ac:dyDescent="0.35">
      <c r="A14" t="s">
        <v>210</v>
      </c>
      <c r="B14" t="s">
        <v>431</v>
      </c>
      <c r="C14" s="2" t="s">
        <v>526</v>
      </c>
      <c r="E14" t="s">
        <v>659</v>
      </c>
      <c r="F14" t="s">
        <v>665</v>
      </c>
      <c r="G14">
        <v>237891</v>
      </c>
      <c r="H14" t="s">
        <v>672</v>
      </c>
    </row>
    <row r="15" spans="1:8" x14ac:dyDescent="0.35">
      <c r="A15" t="s">
        <v>211</v>
      </c>
      <c r="B15" t="s">
        <v>432</v>
      </c>
      <c r="C15" s="2" t="s">
        <v>527</v>
      </c>
      <c r="E15" t="s">
        <v>657</v>
      </c>
      <c r="F15" t="s">
        <v>665</v>
      </c>
      <c r="G15">
        <v>237891</v>
      </c>
      <c r="H15" t="s">
        <v>672</v>
      </c>
    </row>
    <row r="16" spans="1:8" x14ac:dyDescent="0.35">
      <c r="A16" t="s">
        <v>212</v>
      </c>
      <c r="B16" t="s">
        <v>433</v>
      </c>
      <c r="C16" s="2" t="s">
        <v>528</v>
      </c>
      <c r="E16" t="s">
        <v>653</v>
      </c>
      <c r="F16" t="s">
        <v>670</v>
      </c>
      <c r="G16">
        <v>105232</v>
      </c>
      <c r="H16" t="s">
        <v>671</v>
      </c>
    </row>
    <row r="17" spans="1:8" x14ac:dyDescent="0.35">
      <c r="A17" t="s">
        <v>213</v>
      </c>
      <c r="B17" t="s">
        <v>434</v>
      </c>
      <c r="C17" s="2" t="s">
        <v>529</v>
      </c>
      <c r="E17" t="s">
        <v>659</v>
      </c>
      <c r="F17" t="s">
        <v>665</v>
      </c>
      <c r="G17">
        <v>237891</v>
      </c>
      <c r="H17" t="s">
        <v>671</v>
      </c>
    </row>
    <row r="18" spans="1:8" x14ac:dyDescent="0.35">
      <c r="A18" t="s">
        <v>214</v>
      </c>
      <c r="B18" t="s">
        <v>435</v>
      </c>
      <c r="C18" s="2" t="s">
        <v>530</v>
      </c>
      <c r="E18" t="s">
        <v>656</v>
      </c>
      <c r="F18" t="s">
        <v>669</v>
      </c>
      <c r="G18">
        <v>724351</v>
      </c>
      <c r="H18" t="s">
        <v>671</v>
      </c>
    </row>
    <row r="19" spans="1:8" x14ac:dyDescent="0.35">
      <c r="A19" t="s">
        <v>215</v>
      </c>
      <c r="B19" t="s">
        <v>436</v>
      </c>
      <c r="C19" s="2" t="s">
        <v>531</v>
      </c>
      <c r="E19" t="s">
        <v>658</v>
      </c>
      <c r="F19" t="s">
        <v>667</v>
      </c>
      <c r="G19">
        <v>626266</v>
      </c>
      <c r="H19" t="s">
        <v>671</v>
      </c>
    </row>
    <row r="20" spans="1:8" x14ac:dyDescent="0.35">
      <c r="A20" t="s">
        <v>216</v>
      </c>
      <c r="B20" t="s">
        <v>437</v>
      </c>
      <c r="C20" s="2" t="s">
        <v>532</v>
      </c>
      <c r="E20" t="s">
        <v>654</v>
      </c>
      <c r="F20" t="s">
        <v>665</v>
      </c>
      <c r="G20">
        <v>237891</v>
      </c>
      <c r="H20" t="s">
        <v>671</v>
      </c>
    </row>
    <row r="21" spans="1:8" x14ac:dyDescent="0.35">
      <c r="A21" t="s">
        <v>217</v>
      </c>
      <c r="B21" t="s">
        <v>438</v>
      </c>
      <c r="C21" s="2" t="s">
        <v>533</v>
      </c>
      <c r="E21" t="s">
        <v>651</v>
      </c>
      <c r="F21" t="s">
        <v>670</v>
      </c>
      <c r="G21">
        <v>105232</v>
      </c>
      <c r="H21" t="s">
        <v>672</v>
      </c>
    </row>
    <row r="22" spans="1:8" x14ac:dyDescent="0.35">
      <c r="A22" t="s">
        <v>218</v>
      </c>
      <c r="B22" t="s">
        <v>439</v>
      </c>
      <c r="C22" s="2" t="s">
        <v>534</v>
      </c>
      <c r="E22" t="s">
        <v>659</v>
      </c>
      <c r="F22" t="s">
        <v>665</v>
      </c>
      <c r="G22">
        <v>237891</v>
      </c>
      <c r="H22" t="s">
        <v>671</v>
      </c>
    </row>
    <row r="23" spans="1:8" x14ac:dyDescent="0.35">
      <c r="A23" t="s">
        <v>219</v>
      </c>
      <c r="B23" t="s">
        <v>440</v>
      </c>
      <c r="C23" s="2" t="s">
        <v>535</v>
      </c>
      <c r="E23" t="s">
        <v>657</v>
      </c>
      <c r="F23" t="s">
        <v>665</v>
      </c>
      <c r="G23">
        <v>237891</v>
      </c>
      <c r="H23" t="s">
        <v>672</v>
      </c>
    </row>
    <row r="24" spans="1:8" x14ac:dyDescent="0.35">
      <c r="A24" t="s">
        <v>220</v>
      </c>
      <c r="B24" t="s">
        <v>441</v>
      </c>
      <c r="C24" s="2" t="s">
        <v>536</v>
      </c>
      <c r="E24" t="s">
        <v>658</v>
      </c>
      <c r="F24" t="s">
        <v>667</v>
      </c>
      <c r="G24">
        <v>626266</v>
      </c>
      <c r="H24" t="s">
        <v>671</v>
      </c>
    </row>
    <row r="25" spans="1:8" x14ac:dyDescent="0.35">
      <c r="A25" t="s">
        <v>221</v>
      </c>
      <c r="B25" t="s">
        <v>442</v>
      </c>
      <c r="C25" s="2" t="s">
        <v>537</v>
      </c>
      <c r="E25" t="s">
        <v>659</v>
      </c>
      <c r="F25" t="s">
        <v>665</v>
      </c>
      <c r="G25">
        <v>237891</v>
      </c>
      <c r="H25" t="s">
        <v>671</v>
      </c>
    </row>
    <row r="26" spans="1:8" x14ac:dyDescent="0.35">
      <c r="A26" t="s">
        <v>222</v>
      </c>
      <c r="B26" t="s">
        <v>443</v>
      </c>
      <c r="C26" s="2" t="s">
        <v>538</v>
      </c>
      <c r="E26" t="s">
        <v>660</v>
      </c>
      <c r="F26" t="s">
        <v>664</v>
      </c>
      <c r="G26">
        <v>888889</v>
      </c>
      <c r="H26" t="s">
        <v>671</v>
      </c>
    </row>
    <row r="27" spans="1:8" x14ac:dyDescent="0.35">
      <c r="A27" t="s">
        <v>223</v>
      </c>
      <c r="B27" t="s">
        <v>444</v>
      </c>
      <c r="C27" s="2" t="s">
        <v>539</v>
      </c>
      <c r="E27" t="s">
        <v>656</v>
      </c>
      <c r="F27" t="s">
        <v>669</v>
      </c>
      <c r="G27">
        <v>724351</v>
      </c>
      <c r="H27" t="s">
        <v>671</v>
      </c>
    </row>
    <row r="28" spans="1:8" x14ac:dyDescent="0.35">
      <c r="A28" t="s">
        <v>224</v>
      </c>
      <c r="B28" t="s">
        <v>445</v>
      </c>
      <c r="C28" s="2" t="s">
        <v>540</v>
      </c>
      <c r="E28" t="s">
        <v>655</v>
      </c>
      <c r="F28" t="s">
        <v>665</v>
      </c>
      <c r="G28">
        <v>237891</v>
      </c>
      <c r="H28" t="s">
        <v>671</v>
      </c>
    </row>
    <row r="29" spans="1:8" x14ac:dyDescent="0.35">
      <c r="A29" t="s">
        <v>225</v>
      </c>
      <c r="B29" t="s">
        <v>446</v>
      </c>
      <c r="C29" s="2" t="s">
        <v>541</v>
      </c>
      <c r="E29" t="s">
        <v>660</v>
      </c>
      <c r="F29" t="s">
        <v>664</v>
      </c>
      <c r="G29">
        <v>888889</v>
      </c>
      <c r="H29" t="s">
        <v>671</v>
      </c>
    </row>
    <row r="30" spans="1:8" x14ac:dyDescent="0.35">
      <c r="A30" t="s">
        <v>226</v>
      </c>
      <c r="B30" t="s">
        <v>447</v>
      </c>
      <c r="C30" s="2" t="s">
        <v>542</v>
      </c>
      <c r="E30" t="s">
        <v>652</v>
      </c>
      <c r="F30" t="s">
        <v>670</v>
      </c>
      <c r="G30">
        <v>105232</v>
      </c>
      <c r="H30" t="s">
        <v>672</v>
      </c>
    </row>
    <row r="31" spans="1:8" x14ac:dyDescent="0.35">
      <c r="A31" t="s">
        <v>227</v>
      </c>
      <c r="B31" t="s">
        <v>448</v>
      </c>
      <c r="C31" s="2" t="s">
        <v>543</v>
      </c>
      <c r="E31" t="s">
        <v>659</v>
      </c>
      <c r="F31" t="s">
        <v>665</v>
      </c>
      <c r="G31">
        <v>237891</v>
      </c>
      <c r="H31" t="s">
        <v>672</v>
      </c>
    </row>
    <row r="32" spans="1:8" x14ac:dyDescent="0.35">
      <c r="A32" t="s">
        <v>228</v>
      </c>
      <c r="B32" t="s">
        <v>449</v>
      </c>
      <c r="C32" s="2" t="s">
        <v>544</v>
      </c>
      <c r="E32" t="s">
        <v>660</v>
      </c>
      <c r="F32" t="s">
        <v>664</v>
      </c>
      <c r="G32">
        <v>888889</v>
      </c>
      <c r="H32" t="s">
        <v>672</v>
      </c>
    </row>
    <row r="33" spans="1:8" x14ac:dyDescent="0.35">
      <c r="A33" t="s">
        <v>229</v>
      </c>
      <c r="B33" t="s">
        <v>437</v>
      </c>
      <c r="C33" s="2" t="s">
        <v>545</v>
      </c>
      <c r="E33" t="s">
        <v>658</v>
      </c>
      <c r="F33" t="s">
        <v>667</v>
      </c>
      <c r="G33">
        <v>626266</v>
      </c>
      <c r="H33" t="s">
        <v>672</v>
      </c>
    </row>
    <row r="34" spans="1:8" x14ac:dyDescent="0.35">
      <c r="A34" t="s">
        <v>230</v>
      </c>
      <c r="B34" t="s">
        <v>450</v>
      </c>
      <c r="C34" s="2" t="s">
        <v>546</v>
      </c>
      <c r="E34" t="s">
        <v>661</v>
      </c>
      <c r="F34" t="s">
        <v>666</v>
      </c>
      <c r="G34">
        <v>787222</v>
      </c>
      <c r="H34" t="s">
        <v>672</v>
      </c>
    </row>
    <row r="35" spans="1:8" x14ac:dyDescent="0.35">
      <c r="A35" t="s">
        <v>231</v>
      </c>
      <c r="B35" t="s">
        <v>451</v>
      </c>
      <c r="C35" s="2" t="s">
        <v>547</v>
      </c>
      <c r="E35" t="s">
        <v>660</v>
      </c>
      <c r="F35" t="s">
        <v>664</v>
      </c>
      <c r="G35">
        <v>888889</v>
      </c>
      <c r="H35" t="s">
        <v>672</v>
      </c>
    </row>
    <row r="36" spans="1:8" x14ac:dyDescent="0.35">
      <c r="A36" t="s">
        <v>232</v>
      </c>
      <c r="B36" t="s">
        <v>452</v>
      </c>
      <c r="C36" s="2" t="s">
        <v>548</v>
      </c>
      <c r="E36" t="s">
        <v>661</v>
      </c>
      <c r="F36" t="s">
        <v>666</v>
      </c>
      <c r="G36">
        <v>787222</v>
      </c>
      <c r="H36" t="s">
        <v>671</v>
      </c>
    </row>
    <row r="37" spans="1:8" x14ac:dyDescent="0.35">
      <c r="A37" t="s">
        <v>233</v>
      </c>
      <c r="B37" t="s">
        <v>453</v>
      </c>
      <c r="C37" s="2" t="s">
        <v>549</v>
      </c>
      <c r="E37" t="s">
        <v>659</v>
      </c>
      <c r="F37" t="s">
        <v>665</v>
      </c>
      <c r="G37">
        <v>237891</v>
      </c>
      <c r="H37" t="s">
        <v>671</v>
      </c>
    </row>
    <row r="38" spans="1:8" x14ac:dyDescent="0.35">
      <c r="A38" t="s">
        <v>234</v>
      </c>
      <c r="B38" t="s">
        <v>454</v>
      </c>
      <c r="C38" s="2" t="s">
        <v>550</v>
      </c>
      <c r="E38" t="s">
        <v>662</v>
      </c>
      <c r="F38" t="s">
        <v>668</v>
      </c>
      <c r="G38">
        <v>230000</v>
      </c>
      <c r="H38" t="s">
        <v>671</v>
      </c>
    </row>
    <row r="39" spans="1:8" x14ac:dyDescent="0.35">
      <c r="A39" t="s">
        <v>235</v>
      </c>
      <c r="B39" t="s">
        <v>455</v>
      </c>
      <c r="C39" s="2" t="s">
        <v>551</v>
      </c>
      <c r="E39" t="s">
        <v>661</v>
      </c>
      <c r="F39" t="s">
        <v>666</v>
      </c>
      <c r="G39">
        <v>787222</v>
      </c>
      <c r="H39" t="s">
        <v>671</v>
      </c>
    </row>
    <row r="40" spans="1:8" x14ac:dyDescent="0.35">
      <c r="A40" t="s">
        <v>236</v>
      </c>
      <c r="B40" t="s">
        <v>456</v>
      </c>
      <c r="C40" s="2" t="s">
        <v>552</v>
      </c>
      <c r="E40" t="s">
        <v>658</v>
      </c>
      <c r="F40" t="s">
        <v>667</v>
      </c>
      <c r="G40">
        <v>626266</v>
      </c>
      <c r="H40" t="s">
        <v>671</v>
      </c>
    </row>
    <row r="41" spans="1:8" x14ac:dyDescent="0.35">
      <c r="A41" t="s">
        <v>237</v>
      </c>
      <c r="B41" t="s">
        <v>457</v>
      </c>
      <c r="C41" s="2" t="s">
        <v>553</v>
      </c>
      <c r="E41" t="s">
        <v>657</v>
      </c>
      <c r="F41" t="s">
        <v>665</v>
      </c>
      <c r="G41">
        <v>237891</v>
      </c>
      <c r="H41" t="s">
        <v>671</v>
      </c>
    </row>
    <row r="42" spans="1:8" x14ac:dyDescent="0.35">
      <c r="A42" t="s">
        <v>238</v>
      </c>
      <c r="B42" t="s">
        <v>458</v>
      </c>
      <c r="C42" s="2" t="s">
        <v>554</v>
      </c>
      <c r="E42" t="s">
        <v>659</v>
      </c>
      <c r="F42" t="s">
        <v>665</v>
      </c>
      <c r="G42">
        <v>237891</v>
      </c>
      <c r="H42" t="s">
        <v>672</v>
      </c>
    </row>
    <row r="43" spans="1:8" x14ac:dyDescent="0.35">
      <c r="A43" t="s">
        <v>245</v>
      </c>
      <c r="B43" t="s">
        <v>459</v>
      </c>
      <c r="C43" s="2" t="s">
        <v>555</v>
      </c>
      <c r="E43" t="s">
        <v>656</v>
      </c>
      <c r="F43" t="s">
        <v>669</v>
      </c>
      <c r="G43">
        <v>724351</v>
      </c>
      <c r="H43" t="s">
        <v>672</v>
      </c>
    </row>
    <row r="44" spans="1:8" x14ac:dyDescent="0.35">
      <c r="A44" t="s">
        <v>239</v>
      </c>
      <c r="B44" t="s">
        <v>460</v>
      </c>
      <c r="C44" s="2" t="s">
        <v>556</v>
      </c>
      <c r="E44" t="s">
        <v>660</v>
      </c>
      <c r="F44" t="s">
        <v>664</v>
      </c>
      <c r="G44">
        <v>888889</v>
      </c>
      <c r="H44" t="s">
        <v>672</v>
      </c>
    </row>
    <row r="45" spans="1:8" x14ac:dyDescent="0.35">
      <c r="A45" t="s">
        <v>240</v>
      </c>
      <c r="B45" t="s">
        <v>461</v>
      </c>
      <c r="C45" s="2" t="s">
        <v>557</v>
      </c>
      <c r="E45" t="s">
        <v>651</v>
      </c>
      <c r="F45" t="s">
        <v>670</v>
      </c>
      <c r="G45">
        <v>105232</v>
      </c>
      <c r="H45" t="s">
        <v>672</v>
      </c>
    </row>
    <row r="46" spans="1:8" x14ac:dyDescent="0.35">
      <c r="A46" t="s">
        <v>241</v>
      </c>
      <c r="B46" t="s">
        <v>462</v>
      </c>
      <c r="C46" s="2" t="s">
        <v>561</v>
      </c>
      <c r="E46" t="s">
        <v>661</v>
      </c>
      <c r="F46" t="s">
        <v>666</v>
      </c>
      <c r="G46">
        <v>787222</v>
      </c>
      <c r="H46" t="s">
        <v>671</v>
      </c>
    </row>
    <row r="47" spans="1:8" x14ac:dyDescent="0.35">
      <c r="A47" t="s">
        <v>242</v>
      </c>
      <c r="B47" t="s">
        <v>463</v>
      </c>
      <c r="C47" s="2" t="s">
        <v>558</v>
      </c>
      <c r="E47" t="s">
        <v>657</v>
      </c>
      <c r="F47" t="s">
        <v>663</v>
      </c>
      <c r="G47">
        <v>237891</v>
      </c>
      <c r="H47" t="s">
        <v>672</v>
      </c>
    </row>
    <row r="48" spans="1:8" x14ac:dyDescent="0.35">
      <c r="A48" t="s">
        <v>243</v>
      </c>
      <c r="B48" t="s">
        <v>464</v>
      </c>
      <c r="C48" s="2" t="s">
        <v>559</v>
      </c>
      <c r="E48" t="s">
        <v>656</v>
      </c>
      <c r="F48" t="s">
        <v>669</v>
      </c>
      <c r="G48">
        <v>724351</v>
      </c>
      <c r="H48" t="s">
        <v>671</v>
      </c>
    </row>
    <row r="49" spans="1:8" x14ac:dyDescent="0.35">
      <c r="A49" t="s">
        <v>244</v>
      </c>
      <c r="B49" t="s">
        <v>465</v>
      </c>
      <c r="C49" s="2" t="s">
        <v>560</v>
      </c>
      <c r="E49" t="s">
        <v>653</v>
      </c>
      <c r="F49" t="s">
        <v>670</v>
      </c>
      <c r="G49">
        <v>105232</v>
      </c>
      <c r="H49" t="s">
        <v>672</v>
      </c>
    </row>
    <row r="50" spans="1:8" x14ac:dyDescent="0.35">
      <c r="A50" t="s">
        <v>245</v>
      </c>
      <c r="B50" t="s">
        <v>464</v>
      </c>
      <c r="C50" s="2" t="s">
        <v>559</v>
      </c>
      <c r="E50" t="s">
        <v>655</v>
      </c>
      <c r="F50" t="s">
        <v>665</v>
      </c>
      <c r="G50">
        <v>237891</v>
      </c>
      <c r="H50" t="s">
        <v>672</v>
      </c>
    </row>
    <row r="51" spans="1:8" x14ac:dyDescent="0.35">
      <c r="A51" t="s">
        <v>246</v>
      </c>
      <c r="B51" t="s">
        <v>466</v>
      </c>
      <c r="C51" s="2" t="s">
        <v>562</v>
      </c>
      <c r="E51" t="s">
        <v>652</v>
      </c>
      <c r="F51" t="s">
        <v>670</v>
      </c>
      <c r="G51">
        <v>105232</v>
      </c>
      <c r="H51" t="s">
        <v>672</v>
      </c>
    </row>
    <row r="52" spans="1:8" x14ac:dyDescent="0.35">
      <c r="A52" t="s">
        <v>247</v>
      </c>
      <c r="B52" t="s">
        <v>464</v>
      </c>
      <c r="C52" s="2" t="s">
        <v>559</v>
      </c>
      <c r="E52" t="s">
        <v>658</v>
      </c>
      <c r="F52" t="s">
        <v>667</v>
      </c>
      <c r="G52">
        <v>626266</v>
      </c>
      <c r="H52" t="s">
        <v>671</v>
      </c>
    </row>
    <row r="53" spans="1:8" x14ac:dyDescent="0.35">
      <c r="A53" t="s">
        <v>248</v>
      </c>
      <c r="B53" t="s">
        <v>464</v>
      </c>
      <c r="C53" s="2" t="s">
        <v>559</v>
      </c>
      <c r="E53" t="s">
        <v>654</v>
      </c>
      <c r="F53" t="s">
        <v>665</v>
      </c>
      <c r="G53">
        <v>237891</v>
      </c>
      <c r="H53" t="s">
        <v>671</v>
      </c>
    </row>
    <row r="54" spans="1:8" x14ac:dyDescent="0.35">
      <c r="A54" t="s">
        <v>249</v>
      </c>
      <c r="B54" t="s">
        <v>463</v>
      </c>
      <c r="C54" s="2" t="s">
        <v>558</v>
      </c>
      <c r="E54" t="s">
        <v>660</v>
      </c>
      <c r="F54" t="s">
        <v>664</v>
      </c>
      <c r="G54">
        <v>888889</v>
      </c>
      <c r="H54" t="s">
        <v>671</v>
      </c>
    </row>
    <row r="55" spans="1:8" x14ac:dyDescent="0.35">
      <c r="A55" t="s">
        <v>250</v>
      </c>
      <c r="B55" t="s">
        <v>464</v>
      </c>
      <c r="C55" s="2" t="s">
        <v>559</v>
      </c>
      <c r="E55" t="s">
        <v>661</v>
      </c>
      <c r="F55" t="s">
        <v>666</v>
      </c>
      <c r="G55">
        <v>787222</v>
      </c>
      <c r="H55" t="s">
        <v>671</v>
      </c>
    </row>
    <row r="56" spans="1:8" x14ac:dyDescent="0.35">
      <c r="A56" t="s">
        <v>251</v>
      </c>
      <c r="B56" t="s">
        <v>466</v>
      </c>
      <c r="C56" s="2" t="s">
        <v>562</v>
      </c>
      <c r="E56" t="s">
        <v>659</v>
      </c>
      <c r="F56" t="s">
        <v>665</v>
      </c>
      <c r="G56">
        <v>237891</v>
      </c>
      <c r="H56" t="s">
        <v>671</v>
      </c>
    </row>
    <row r="57" spans="1:8" x14ac:dyDescent="0.35">
      <c r="A57" t="s">
        <v>252</v>
      </c>
      <c r="B57" t="s">
        <v>465</v>
      </c>
      <c r="C57" s="2" t="s">
        <v>560</v>
      </c>
      <c r="E57" t="s">
        <v>656</v>
      </c>
      <c r="F57" t="s">
        <v>669</v>
      </c>
      <c r="G57">
        <v>724351</v>
      </c>
      <c r="H57" t="s">
        <v>671</v>
      </c>
    </row>
    <row r="58" spans="1:8" x14ac:dyDescent="0.35">
      <c r="A58" t="s">
        <v>253</v>
      </c>
      <c r="B58" t="s">
        <v>466</v>
      </c>
      <c r="C58" s="2" t="s">
        <v>562</v>
      </c>
      <c r="E58" t="s">
        <v>658</v>
      </c>
      <c r="F58" t="s">
        <v>667</v>
      </c>
      <c r="G58">
        <v>626266</v>
      </c>
      <c r="H58" t="s">
        <v>671</v>
      </c>
    </row>
    <row r="59" spans="1:8" x14ac:dyDescent="0.35">
      <c r="A59" t="s">
        <v>254</v>
      </c>
      <c r="B59" t="s">
        <v>463</v>
      </c>
      <c r="C59" s="2" t="s">
        <v>558</v>
      </c>
      <c r="E59" t="s">
        <v>657</v>
      </c>
      <c r="F59" t="s">
        <v>665</v>
      </c>
      <c r="G59">
        <v>237891</v>
      </c>
      <c r="H59" t="s">
        <v>671</v>
      </c>
    </row>
    <row r="60" spans="1:8" x14ac:dyDescent="0.35">
      <c r="A60" t="s">
        <v>255</v>
      </c>
      <c r="B60" t="s">
        <v>464</v>
      </c>
      <c r="C60" s="2" t="s">
        <v>559</v>
      </c>
      <c r="E60" t="s">
        <v>662</v>
      </c>
      <c r="F60" t="s">
        <v>668</v>
      </c>
      <c r="G60">
        <v>230000</v>
      </c>
      <c r="H60" t="s">
        <v>672</v>
      </c>
    </row>
    <row r="61" spans="1:8" x14ac:dyDescent="0.35">
      <c r="A61" t="s">
        <v>256</v>
      </c>
      <c r="B61" t="s">
        <v>466</v>
      </c>
      <c r="C61" s="2" t="s">
        <v>562</v>
      </c>
      <c r="E61" t="s">
        <v>661</v>
      </c>
      <c r="F61" t="s">
        <v>666</v>
      </c>
      <c r="G61">
        <v>787222</v>
      </c>
      <c r="H61" t="s">
        <v>672</v>
      </c>
    </row>
    <row r="62" spans="1:8" x14ac:dyDescent="0.35">
      <c r="A62" t="s">
        <v>257</v>
      </c>
      <c r="B62" t="s">
        <v>465</v>
      </c>
      <c r="C62" s="2" t="s">
        <v>560</v>
      </c>
      <c r="E62" t="s">
        <v>659</v>
      </c>
      <c r="F62" t="s">
        <v>665</v>
      </c>
      <c r="G62">
        <v>237891</v>
      </c>
      <c r="H62" t="s">
        <v>672</v>
      </c>
    </row>
    <row r="63" spans="1:8" x14ac:dyDescent="0.35">
      <c r="A63" t="s">
        <v>258</v>
      </c>
      <c r="B63" t="s">
        <v>464</v>
      </c>
      <c r="C63" s="2" t="s">
        <v>559</v>
      </c>
      <c r="E63" t="s">
        <v>660</v>
      </c>
      <c r="F63" t="s">
        <v>664</v>
      </c>
      <c r="G63">
        <v>888889</v>
      </c>
      <c r="H63" t="s">
        <v>672</v>
      </c>
    </row>
    <row r="64" spans="1:8" x14ac:dyDescent="0.35">
      <c r="A64" t="s">
        <v>254</v>
      </c>
      <c r="B64" t="s">
        <v>463</v>
      </c>
      <c r="C64" s="2" t="s">
        <v>558</v>
      </c>
      <c r="E64" t="s">
        <v>658</v>
      </c>
      <c r="F64" t="s">
        <v>667</v>
      </c>
      <c r="G64">
        <v>626266</v>
      </c>
      <c r="H64" t="s">
        <v>671</v>
      </c>
    </row>
    <row r="65" spans="1:8" x14ac:dyDescent="0.35">
      <c r="A65" t="s">
        <v>259</v>
      </c>
      <c r="B65" t="s">
        <v>466</v>
      </c>
      <c r="C65" s="2" t="s">
        <v>562</v>
      </c>
      <c r="E65" t="s">
        <v>661</v>
      </c>
      <c r="F65" t="s">
        <v>666</v>
      </c>
      <c r="G65">
        <v>787222</v>
      </c>
      <c r="H65" t="s">
        <v>671</v>
      </c>
    </row>
    <row r="66" spans="1:8" x14ac:dyDescent="0.35">
      <c r="A66" t="s">
        <v>260</v>
      </c>
      <c r="B66" t="s">
        <v>465</v>
      </c>
      <c r="C66" s="2" t="s">
        <v>560</v>
      </c>
      <c r="E66" t="s">
        <v>656</v>
      </c>
      <c r="F66" t="s">
        <v>669</v>
      </c>
      <c r="G66">
        <v>724351</v>
      </c>
      <c r="H66" t="s">
        <v>671</v>
      </c>
    </row>
    <row r="67" spans="1:8" x14ac:dyDescent="0.35">
      <c r="A67" t="s">
        <v>261</v>
      </c>
      <c r="B67" t="s">
        <v>463</v>
      </c>
      <c r="C67" s="2" t="s">
        <v>558</v>
      </c>
      <c r="E67" t="s">
        <v>662</v>
      </c>
      <c r="F67" t="s">
        <v>668</v>
      </c>
      <c r="G67">
        <v>230000</v>
      </c>
      <c r="H67" t="s">
        <v>671</v>
      </c>
    </row>
    <row r="68" spans="1:8" x14ac:dyDescent="0.35">
      <c r="A68" t="s">
        <v>262</v>
      </c>
      <c r="B68" t="s">
        <v>464</v>
      </c>
      <c r="C68" s="2" t="s">
        <v>559</v>
      </c>
      <c r="E68" t="s">
        <v>659</v>
      </c>
      <c r="F68" t="s">
        <v>665</v>
      </c>
      <c r="G68">
        <v>237891</v>
      </c>
      <c r="H68" t="s">
        <v>671</v>
      </c>
    </row>
    <row r="69" spans="1:8" x14ac:dyDescent="0.35">
      <c r="A69" t="s">
        <v>263</v>
      </c>
      <c r="B69" t="s">
        <v>465</v>
      </c>
      <c r="C69" s="2" t="s">
        <v>560</v>
      </c>
      <c r="E69" t="s">
        <v>660</v>
      </c>
      <c r="F69" t="s">
        <v>664</v>
      </c>
      <c r="G69">
        <v>888889</v>
      </c>
      <c r="H69" t="s">
        <v>671</v>
      </c>
    </row>
    <row r="70" spans="1:8" x14ac:dyDescent="0.35">
      <c r="A70" t="s">
        <v>264</v>
      </c>
      <c r="B70" t="s">
        <v>464</v>
      </c>
      <c r="C70" s="2" t="s">
        <v>559</v>
      </c>
      <c r="E70" t="s">
        <v>658</v>
      </c>
      <c r="F70" t="s">
        <v>667</v>
      </c>
      <c r="G70">
        <v>626266</v>
      </c>
      <c r="H70" t="s">
        <v>671</v>
      </c>
    </row>
    <row r="71" spans="1:8" x14ac:dyDescent="0.35">
      <c r="A71" t="s">
        <v>265</v>
      </c>
      <c r="B71" t="s">
        <v>466</v>
      </c>
      <c r="C71" s="2" t="s">
        <v>562</v>
      </c>
      <c r="E71" t="s">
        <v>654</v>
      </c>
      <c r="F71" t="s">
        <v>665</v>
      </c>
      <c r="G71">
        <v>237891</v>
      </c>
      <c r="H71" t="s">
        <v>671</v>
      </c>
    </row>
    <row r="72" spans="1:8" x14ac:dyDescent="0.35">
      <c r="A72" t="s">
        <v>266</v>
      </c>
      <c r="B72" t="s">
        <v>464</v>
      </c>
      <c r="C72" s="2" t="s">
        <v>559</v>
      </c>
      <c r="E72" t="s">
        <v>659</v>
      </c>
      <c r="F72" t="s">
        <v>665</v>
      </c>
      <c r="G72">
        <v>237891</v>
      </c>
      <c r="H72" t="s">
        <v>671</v>
      </c>
    </row>
    <row r="73" spans="1:8" x14ac:dyDescent="0.35">
      <c r="A73" t="s">
        <v>267</v>
      </c>
      <c r="B73" t="s">
        <v>464</v>
      </c>
      <c r="C73" s="2" t="s">
        <v>559</v>
      </c>
      <c r="E73" t="s">
        <v>658</v>
      </c>
      <c r="F73" t="s">
        <v>667</v>
      </c>
      <c r="G73">
        <v>626266</v>
      </c>
      <c r="H73" t="s">
        <v>671</v>
      </c>
    </row>
    <row r="74" spans="1:8" x14ac:dyDescent="0.35">
      <c r="A74" t="s">
        <v>268</v>
      </c>
      <c r="B74" t="s">
        <v>463</v>
      </c>
      <c r="C74" s="2" t="s">
        <v>558</v>
      </c>
      <c r="E74" t="s">
        <v>655</v>
      </c>
      <c r="F74" t="s">
        <v>665</v>
      </c>
      <c r="G74">
        <v>237891</v>
      </c>
      <c r="H74" t="s">
        <v>671</v>
      </c>
    </row>
    <row r="75" spans="1:8" x14ac:dyDescent="0.35">
      <c r="A75" t="s">
        <v>269</v>
      </c>
      <c r="B75" t="s">
        <v>464</v>
      </c>
      <c r="C75" s="2" t="s">
        <v>559</v>
      </c>
      <c r="E75" t="s">
        <v>651</v>
      </c>
      <c r="F75" t="s">
        <v>670</v>
      </c>
      <c r="G75">
        <v>105232</v>
      </c>
      <c r="H75" t="s">
        <v>671</v>
      </c>
    </row>
    <row r="76" spans="1:8" x14ac:dyDescent="0.35">
      <c r="A76" t="s">
        <v>270</v>
      </c>
      <c r="B76" t="s">
        <v>466</v>
      </c>
      <c r="C76" s="2" t="s">
        <v>562</v>
      </c>
      <c r="E76" t="s">
        <v>662</v>
      </c>
      <c r="F76" t="s">
        <v>668</v>
      </c>
      <c r="G76">
        <v>230000</v>
      </c>
      <c r="H76" t="s">
        <v>671</v>
      </c>
    </row>
    <row r="77" spans="1:8" x14ac:dyDescent="0.35">
      <c r="A77" t="s">
        <v>271</v>
      </c>
      <c r="B77" t="s">
        <v>465</v>
      </c>
      <c r="C77" s="2" t="s">
        <v>560</v>
      </c>
      <c r="E77" t="s">
        <v>657</v>
      </c>
      <c r="F77" t="s">
        <v>665</v>
      </c>
      <c r="G77">
        <v>237891</v>
      </c>
      <c r="H77" t="s">
        <v>672</v>
      </c>
    </row>
    <row r="78" spans="1:8" x14ac:dyDescent="0.35">
      <c r="A78" t="s">
        <v>272</v>
      </c>
      <c r="B78" t="s">
        <v>466</v>
      </c>
      <c r="C78" s="2" t="s">
        <v>562</v>
      </c>
      <c r="E78" t="s">
        <v>660</v>
      </c>
      <c r="F78" t="s">
        <v>664</v>
      </c>
      <c r="G78">
        <v>888889</v>
      </c>
      <c r="H78" t="s">
        <v>672</v>
      </c>
    </row>
    <row r="79" spans="1:8" x14ac:dyDescent="0.35">
      <c r="A79" t="s">
        <v>273</v>
      </c>
      <c r="B79" t="s">
        <v>463</v>
      </c>
      <c r="C79" s="2" t="s">
        <v>558</v>
      </c>
      <c r="E79" t="s">
        <v>659</v>
      </c>
      <c r="F79" t="s">
        <v>665</v>
      </c>
      <c r="G79">
        <v>237891</v>
      </c>
      <c r="H79" t="s">
        <v>671</v>
      </c>
    </row>
    <row r="80" spans="1:8" x14ac:dyDescent="0.35">
      <c r="A80" t="s">
        <v>274</v>
      </c>
      <c r="B80" t="s">
        <v>464</v>
      </c>
      <c r="C80" s="2" t="s">
        <v>559</v>
      </c>
      <c r="E80" t="s">
        <v>661</v>
      </c>
      <c r="F80" t="s">
        <v>666</v>
      </c>
      <c r="G80">
        <v>787222</v>
      </c>
      <c r="H80" t="s">
        <v>671</v>
      </c>
    </row>
    <row r="81" spans="1:8" x14ac:dyDescent="0.35">
      <c r="A81" t="s">
        <v>275</v>
      </c>
      <c r="B81" t="s">
        <v>466</v>
      </c>
      <c r="C81" s="2" t="s">
        <v>562</v>
      </c>
      <c r="E81" t="s">
        <v>652</v>
      </c>
      <c r="F81" t="s">
        <v>670</v>
      </c>
      <c r="G81">
        <v>105232</v>
      </c>
      <c r="H81" t="s">
        <v>671</v>
      </c>
    </row>
    <row r="82" spans="1:8" x14ac:dyDescent="0.35">
      <c r="A82" t="s">
        <v>276</v>
      </c>
      <c r="B82" t="s">
        <v>465</v>
      </c>
      <c r="C82" s="2" t="s">
        <v>560</v>
      </c>
      <c r="E82" t="s">
        <v>656</v>
      </c>
      <c r="F82" t="s">
        <v>669</v>
      </c>
      <c r="G82">
        <v>724351</v>
      </c>
      <c r="H82" t="s">
        <v>672</v>
      </c>
    </row>
    <row r="83" spans="1:8" x14ac:dyDescent="0.35">
      <c r="A83" t="s">
        <v>277</v>
      </c>
      <c r="B83" t="s">
        <v>464</v>
      </c>
      <c r="C83" s="2" t="s">
        <v>559</v>
      </c>
      <c r="E83" t="s">
        <v>662</v>
      </c>
      <c r="F83" t="s">
        <v>668</v>
      </c>
      <c r="G83">
        <v>230000</v>
      </c>
      <c r="H83" t="s">
        <v>671</v>
      </c>
    </row>
    <row r="84" spans="1:8" x14ac:dyDescent="0.35">
      <c r="A84" t="s">
        <v>278</v>
      </c>
      <c r="B84" t="s">
        <v>463</v>
      </c>
      <c r="C84" s="2" t="s">
        <v>558</v>
      </c>
      <c r="E84" t="s">
        <v>661</v>
      </c>
      <c r="F84" t="s">
        <v>666</v>
      </c>
      <c r="G84">
        <v>787222</v>
      </c>
      <c r="H84" t="s">
        <v>672</v>
      </c>
    </row>
    <row r="85" spans="1:8" x14ac:dyDescent="0.35">
      <c r="A85" t="s">
        <v>279</v>
      </c>
      <c r="B85" t="s">
        <v>466</v>
      </c>
      <c r="C85" s="2" t="s">
        <v>562</v>
      </c>
      <c r="E85" t="s">
        <v>659</v>
      </c>
      <c r="F85" t="s">
        <v>665</v>
      </c>
      <c r="G85">
        <v>237891</v>
      </c>
      <c r="H85" t="s">
        <v>671</v>
      </c>
    </row>
    <row r="86" spans="1:8" x14ac:dyDescent="0.35">
      <c r="A86" t="s">
        <v>280</v>
      </c>
      <c r="B86" t="s">
        <v>467</v>
      </c>
      <c r="C86" s="2" t="s">
        <v>563</v>
      </c>
      <c r="E86" t="s">
        <v>658</v>
      </c>
      <c r="F86" t="s">
        <v>667</v>
      </c>
      <c r="G86">
        <v>626266</v>
      </c>
      <c r="H86" t="s">
        <v>671</v>
      </c>
    </row>
    <row r="87" spans="1:8" x14ac:dyDescent="0.35">
      <c r="A87" t="s">
        <v>281</v>
      </c>
      <c r="B87" t="s">
        <v>467</v>
      </c>
      <c r="C87" s="2" t="s">
        <v>563</v>
      </c>
      <c r="E87" t="s">
        <v>657</v>
      </c>
      <c r="F87" t="s">
        <v>665</v>
      </c>
      <c r="G87">
        <v>237891</v>
      </c>
      <c r="H87" t="s">
        <v>671</v>
      </c>
    </row>
    <row r="88" spans="1:8" x14ac:dyDescent="0.35">
      <c r="A88" t="s">
        <v>282</v>
      </c>
      <c r="B88" t="s">
        <v>468</v>
      </c>
      <c r="C88" s="2" t="s">
        <v>564</v>
      </c>
      <c r="E88" t="s">
        <v>660</v>
      </c>
      <c r="F88" t="s">
        <v>664</v>
      </c>
      <c r="G88">
        <v>888889</v>
      </c>
      <c r="H88" t="s">
        <v>671</v>
      </c>
    </row>
    <row r="89" spans="1:8" x14ac:dyDescent="0.35">
      <c r="A89" t="s">
        <v>283</v>
      </c>
      <c r="B89" t="s">
        <v>467</v>
      </c>
      <c r="C89" s="2" t="s">
        <v>563</v>
      </c>
      <c r="E89" t="s">
        <v>654</v>
      </c>
      <c r="F89" t="s">
        <v>665</v>
      </c>
      <c r="G89">
        <v>237891</v>
      </c>
      <c r="H89" t="s">
        <v>671</v>
      </c>
    </row>
    <row r="90" spans="1:8" x14ac:dyDescent="0.35">
      <c r="A90" t="s">
        <v>284</v>
      </c>
      <c r="B90" t="s">
        <v>469</v>
      </c>
      <c r="C90" s="2" t="s">
        <v>565</v>
      </c>
      <c r="E90" t="s">
        <v>662</v>
      </c>
      <c r="F90" t="s">
        <v>668</v>
      </c>
      <c r="G90">
        <v>230000</v>
      </c>
      <c r="H90" t="s">
        <v>671</v>
      </c>
    </row>
    <row r="91" spans="1:8" x14ac:dyDescent="0.35">
      <c r="A91" t="s">
        <v>285</v>
      </c>
      <c r="B91" t="s">
        <v>470</v>
      </c>
      <c r="C91" s="2" t="s">
        <v>566</v>
      </c>
      <c r="E91" t="s">
        <v>659</v>
      </c>
      <c r="F91" t="s">
        <v>665</v>
      </c>
      <c r="G91">
        <v>237891</v>
      </c>
      <c r="H91" t="s">
        <v>671</v>
      </c>
    </row>
    <row r="92" spans="1:8" x14ac:dyDescent="0.35">
      <c r="A92" t="s">
        <v>286</v>
      </c>
      <c r="B92" t="s">
        <v>469</v>
      </c>
      <c r="C92" s="2" t="s">
        <v>565</v>
      </c>
      <c r="E92" t="s">
        <v>655</v>
      </c>
      <c r="F92" t="s">
        <v>665</v>
      </c>
      <c r="G92">
        <v>237891</v>
      </c>
      <c r="H92" t="s">
        <v>671</v>
      </c>
    </row>
    <row r="93" spans="1:8" x14ac:dyDescent="0.35">
      <c r="A93" t="s">
        <v>287</v>
      </c>
      <c r="B93" t="s">
        <v>468</v>
      </c>
      <c r="C93" s="2" t="s">
        <v>564</v>
      </c>
      <c r="E93" t="s">
        <v>662</v>
      </c>
      <c r="F93" t="s">
        <v>668</v>
      </c>
      <c r="G93">
        <v>230000</v>
      </c>
      <c r="H93" t="s">
        <v>672</v>
      </c>
    </row>
    <row r="94" spans="1:8" x14ac:dyDescent="0.35">
      <c r="A94" t="s">
        <v>288</v>
      </c>
      <c r="B94" t="s">
        <v>467</v>
      </c>
      <c r="C94" s="2" t="s">
        <v>563</v>
      </c>
      <c r="E94" t="s">
        <v>661</v>
      </c>
      <c r="F94" t="s">
        <v>666</v>
      </c>
      <c r="G94">
        <v>787222</v>
      </c>
      <c r="H94" t="s">
        <v>672</v>
      </c>
    </row>
    <row r="95" spans="1:8" x14ac:dyDescent="0.35">
      <c r="A95" t="s">
        <v>289</v>
      </c>
      <c r="B95" t="s">
        <v>469</v>
      </c>
      <c r="C95" s="2" t="s">
        <v>565</v>
      </c>
      <c r="E95" t="s">
        <v>660</v>
      </c>
      <c r="F95" t="s">
        <v>664</v>
      </c>
      <c r="G95">
        <v>888889</v>
      </c>
      <c r="H95" t="s">
        <v>672</v>
      </c>
    </row>
    <row r="96" spans="1:8" x14ac:dyDescent="0.35">
      <c r="A96" t="s">
        <v>290</v>
      </c>
      <c r="B96" t="s">
        <v>470</v>
      </c>
      <c r="C96" s="2" t="s">
        <v>566</v>
      </c>
      <c r="E96" t="s">
        <v>662</v>
      </c>
      <c r="F96" t="s">
        <v>668</v>
      </c>
      <c r="G96">
        <v>230000</v>
      </c>
      <c r="H96" t="s">
        <v>672</v>
      </c>
    </row>
    <row r="97" spans="1:8" x14ac:dyDescent="0.35">
      <c r="A97" t="s">
        <v>291</v>
      </c>
      <c r="B97" t="s">
        <v>467</v>
      </c>
      <c r="C97" s="2" t="s">
        <v>563</v>
      </c>
      <c r="E97" t="s">
        <v>659</v>
      </c>
      <c r="F97" t="s">
        <v>663</v>
      </c>
      <c r="G97">
        <v>237891</v>
      </c>
      <c r="H97" t="s">
        <v>672</v>
      </c>
    </row>
    <row r="98" spans="1:8" x14ac:dyDescent="0.35">
      <c r="A98" t="s">
        <v>292</v>
      </c>
      <c r="B98" t="s">
        <v>468</v>
      </c>
      <c r="C98" s="2" t="s">
        <v>564</v>
      </c>
      <c r="E98" t="s">
        <v>660</v>
      </c>
      <c r="F98" t="s">
        <v>664</v>
      </c>
      <c r="G98">
        <v>888889</v>
      </c>
      <c r="H98" t="s">
        <v>672</v>
      </c>
    </row>
    <row r="99" spans="1:8" x14ac:dyDescent="0.35">
      <c r="A99" t="s">
        <v>293</v>
      </c>
      <c r="B99" t="s">
        <v>469</v>
      </c>
      <c r="C99" s="2" t="s">
        <v>565</v>
      </c>
      <c r="E99" t="s">
        <v>651</v>
      </c>
      <c r="F99" t="s">
        <v>670</v>
      </c>
      <c r="G99">
        <v>105232</v>
      </c>
      <c r="H99" t="s">
        <v>672</v>
      </c>
    </row>
    <row r="100" spans="1:8" x14ac:dyDescent="0.35">
      <c r="A100" t="s">
        <v>294</v>
      </c>
      <c r="B100" t="s">
        <v>419</v>
      </c>
      <c r="C100" s="2" t="s">
        <v>567</v>
      </c>
      <c r="E100" t="s">
        <v>656</v>
      </c>
      <c r="F100" t="s">
        <v>669</v>
      </c>
      <c r="G100">
        <v>724351</v>
      </c>
      <c r="H100" t="s">
        <v>672</v>
      </c>
    </row>
    <row r="101" spans="1:8" x14ac:dyDescent="0.35">
      <c r="A101" t="s">
        <v>295</v>
      </c>
      <c r="B101" t="s">
        <v>420</v>
      </c>
      <c r="C101" s="2" t="s">
        <v>568</v>
      </c>
      <c r="E101" t="s">
        <v>658</v>
      </c>
      <c r="F101" t="s">
        <v>667</v>
      </c>
      <c r="G101">
        <v>626266</v>
      </c>
      <c r="H101" t="s">
        <v>672</v>
      </c>
    </row>
    <row r="102" spans="1:8" x14ac:dyDescent="0.35">
      <c r="A102" t="s">
        <v>296</v>
      </c>
      <c r="B102" t="s">
        <v>421</v>
      </c>
      <c r="C102" s="2" t="s">
        <v>569</v>
      </c>
      <c r="E102" t="s">
        <v>657</v>
      </c>
      <c r="F102" t="s">
        <v>665</v>
      </c>
      <c r="G102">
        <v>237891</v>
      </c>
      <c r="H102" t="s">
        <v>672</v>
      </c>
    </row>
    <row r="103" spans="1:8" x14ac:dyDescent="0.35">
      <c r="A103" t="s">
        <v>297</v>
      </c>
      <c r="B103" t="s">
        <v>422</v>
      </c>
      <c r="C103" s="2" t="s">
        <v>570</v>
      </c>
      <c r="E103" t="s">
        <v>661</v>
      </c>
      <c r="F103" t="s">
        <v>666</v>
      </c>
      <c r="G103">
        <v>787222</v>
      </c>
      <c r="H103" t="s">
        <v>671</v>
      </c>
    </row>
    <row r="104" spans="1:8" x14ac:dyDescent="0.35">
      <c r="A104" t="s">
        <v>298</v>
      </c>
      <c r="B104" t="s">
        <v>423</v>
      </c>
      <c r="C104" s="2" t="s">
        <v>571</v>
      </c>
      <c r="E104" t="s">
        <v>660</v>
      </c>
      <c r="F104" t="s">
        <v>664</v>
      </c>
      <c r="G104">
        <v>888889</v>
      </c>
      <c r="H104" t="s">
        <v>671</v>
      </c>
    </row>
    <row r="105" spans="1:8" x14ac:dyDescent="0.35">
      <c r="A105" t="s">
        <v>299</v>
      </c>
      <c r="B105" t="s">
        <v>424</v>
      </c>
      <c r="C105" s="2" t="s">
        <v>572</v>
      </c>
      <c r="E105" t="s">
        <v>662</v>
      </c>
      <c r="F105" t="s">
        <v>668</v>
      </c>
      <c r="G105">
        <v>230000</v>
      </c>
      <c r="H105" t="s">
        <v>671</v>
      </c>
    </row>
    <row r="106" spans="1:8" x14ac:dyDescent="0.35">
      <c r="A106" t="s">
        <v>300</v>
      </c>
      <c r="B106" t="s">
        <v>425</v>
      </c>
      <c r="C106" s="2" t="s">
        <v>573</v>
      </c>
      <c r="E106" t="s">
        <v>661</v>
      </c>
      <c r="F106" t="s">
        <v>666</v>
      </c>
      <c r="G106">
        <v>787222</v>
      </c>
      <c r="H106" t="s">
        <v>672</v>
      </c>
    </row>
    <row r="107" spans="1:8" x14ac:dyDescent="0.35">
      <c r="A107" t="s">
        <v>301</v>
      </c>
      <c r="B107" t="s">
        <v>426</v>
      </c>
      <c r="C107" s="2" t="s">
        <v>574</v>
      </c>
      <c r="E107" t="s">
        <v>660</v>
      </c>
      <c r="F107" t="s">
        <v>664</v>
      </c>
      <c r="G107">
        <v>888889</v>
      </c>
      <c r="H107" t="s">
        <v>671</v>
      </c>
    </row>
    <row r="108" spans="1:8" x14ac:dyDescent="0.35">
      <c r="A108" t="s">
        <v>302</v>
      </c>
      <c r="B108" t="s">
        <v>427</v>
      </c>
      <c r="C108" s="2" t="s">
        <v>575</v>
      </c>
      <c r="E108" t="s">
        <v>655</v>
      </c>
      <c r="F108" t="s">
        <v>665</v>
      </c>
      <c r="G108">
        <v>237891</v>
      </c>
      <c r="H108" t="s">
        <v>671</v>
      </c>
    </row>
    <row r="109" spans="1:8" x14ac:dyDescent="0.35">
      <c r="A109" t="s">
        <v>303</v>
      </c>
      <c r="B109" t="s">
        <v>428</v>
      </c>
      <c r="C109" s="2" t="s">
        <v>576</v>
      </c>
      <c r="E109" t="s">
        <v>659</v>
      </c>
      <c r="F109" t="s">
        <v>665</v>
      </c>
      <c r="G109">
        <v>237891</v>
      </c>
      <c r="H109" t="s">
        <v>671</v>
      </c>
    </row>
    <row r="110" spans="1:8" x14ac:dyDescent="0.35">
      <c r="A110" t="s">
        <v>304</v>
      </c>
      <c r="B110" t="s">
        <v>429</v>
      </c>
      <c r="C110" s="2" t="s">
        <v>577</v>
      </c>
      <c r="E110" t="s">
        <v>658</v>
      </c>
      <c r="F110" t="s">
        <v>667</v>
      </c>
      <c r="G110">
        <v>626266</v>
      </c>
      <c r="H110" t="s">
        <v>671</v>
      </c>
    </row>
    <row r="111" spans="1:8" x14ac:dyDescent="0.35">
      <c r="A111" t="s">
        <v>305</v>
      </c>
      <c r="B111" t="s">
        <v>430</v>
      </c>
      <c r="C111" s="2" t="s">
        <v>525</v>
      </c>
      <c r="E111" t="s">
        <v>660</v>
      </c>
      <c r="F111" t="s">
        <v>664</v>
      </c>
      <c r="G111">
        <v>888889</v>
      </c>
      <c r="H111" t="s">
        <v>671</v>
      </c>
    </row>
    <row r="112" spans="1:8" x14ac:dyDescent="0.35">
      <c r="A112" t="s">
        <v>306</v>
      </c>
      <c r="B112" t="s">
        <v>431</v>
      </c>
      <c r="C112" s="2" t="s">
        <v>578</v>
      </c>
      <c r="E112" t="s">
        <v>657</v>
      </c>
      <c r="F112" t="s">
        <v>665</v>
      </c>
      <c r="G112">
        <v>237891</v>
      </c>
      <c r="H112" t="s">
        <v>671</v>
      </c>
    </row>
    <row r="113" spans="1:8" x14ac:dyDescent="0.35">
      <c r="A113" t="s">
        <v>307</v>
      </c>
      <c r="B113" t="s">
        <v>432</v>
      </c>
      <c r="C113" s="2" t="s">
        <v>579</v>
      </c>
      <c r="E113" t="s">
        <v>654</v>
      </c>
      <c r="F113" t="s">
        <v>665</v>
      </c>
      <c r="G113">
        <v>237891</v>
      </c>
      <c r="H113" t="s">
        <v>671</v>
      </c>
    </row>
    <row r="114" spans="1:8" x14ac:dyDescent="0.35">
      <c r="A114" t="s">
        <v>308</v>
      </c>
      <c r="B114" t="s">
        <v>433</v>
      </c>
      <c r="C114" s="2" t="s">
        <v>580</v>
      </c>
      <c r="E114" t="s">
        <v>660</v>
      </c>
      <c r="F114" t="s">
        <v>664</v>
      </c>
      <c r="G114">
        <v>888889</v>
      </c>
      <c r="H114" t="s">
        <v>671</v>
      </c>
    </row>
    <row r="115" spans="1:8" x14ac:dyDescent="0.35">
      <c r="A115" t="s">
        <v>309</v>
      </c>
      <c r="B115" t="s">
        <v>434</v>
      </c>
      <c r="C115" s="2" t="s">
        <v>581</v>
      </c>
      <c r="E115" t="s">
        <v>659</v>
      </c>
      <c r="F115" t="s">
        <v>665</v>
      </c>
      <c r="G115">
        <v>237891</v>
      </c>
      <c r="H115" t="s">
        <v>671</v>
      </c>
    </row>
    <row r="116" spans="1:8" x14ac:dyDescent="0.35">
      <c r="A116" t="s">
        <v>310</v>
      </c>
      <c r="B116" t="s">
        <v>435</v>
      </c>
      <c r="C116" s="2" t="s">
        <v>582</v>
      </c>
      <c r="E116" t="s">
        <v>661</v>
      </c>
      <c r="F116" t="s">
        <v>666</v>
      </c>
      <c r="G116">
        <v>787222</v>
      </c>
      <c r="H116" t="s">
        <v>671</v>
      </c>
    </row>
    <row r="117" spans="1:8" x14ac:dyDescent="0.35">
      <c r="A117" t="s">
        <v>311</v>
      </c>
      <c r="B117" t="s">
        <v>436</v>
      </c>
      <c r="C117" s="2" t="s">
        <v>583</v>
      </c>
      <c r="E117" t="s">
        <v>652</v>
      </c>
      <c r="F117" t="s">
        <v>670</v>
      </c>
      <c r="G117">
        <v>105232</v>
      </c>
      <c r="H117" t="s">
        <v>671</v>
      </c>
    </row>
    <row r="118" spans="1:8" x14ac:dyDescent="0.35">
      <c r="A118" t="s">
        <v>312</v>
      </c>
      <c r="B118" t="s">
        <v>437</v>
      </c>
      <c r="C118" s="2" t="s">
        <v>584</v>
      </c>
      <c r="E118" t="s">
        <v>656</v>
      </c>
      <c r="F118" t="s">
        <v>669</v>
      </c>
      <c r="G118">
        <v>724351</v>
      </c>
      <c r="H118" t="s">
        <v>671</v>
      </c>
    </row>
    <row r="119" spans="1:8" x14ac:dyDescent="0.35">
      <c r="A119" t="s">
        <v>313</v>
      </c>
      <c r="B119" t="s">
        <v>438</v>
      </c>
      <c r="C119" s="2" t="s">
        <v>585</v>
      </c>
      <c r="E119" t="s">
        <v>660</v>
      </c>
      <c r="F119" t="s">
        <v>664</v>
      </c>
      <c r="G119">
        <v>888889</v>
      </c>
      <c r="H119" t="s">
        <v>671</v>
      </c>
    </row>
    <row r="120" spans="1:8" x14ac:dyDescent="0.35">
      <c r="A120" t="s">
        <v>314</v>
      </c>
      <c r="B120" t="s">
        <v>439</v>
      </c>
      <c r="C120" s="2" t="s">
        <v>586</v>
      </c>
      <c r="E120" t="s">
        <v>659</v>
      </c>
      <c r="F120" t="s">
        <v>665</v>
      </c>
      <c r="G120">
        <v>237891</v>
      </c>
      <c r="H120" t="s">
        <v>671</v>
      </c>
    </row>
    <row r="121" spans="1:8" x14ac:dyDescent="0.35">
      <c r="A121" t="s">
        <v>315</v>
      </c>
      <c r="B121" t="s">
        <v>440</v>
      </c>
      <c r="C121" s="2" t="s">
        <v>587</v>
      </c>
      <c r="E121" t="s">
        <v>657</v>
      </c>
      <c r="F121" t="s">
        <v>665</v>
      </c>
      <c r="G121">
        <v>237891</v>
      </c>
      <c r="H121" t="s">
        <v>671</v>
      </c>
    </row>
    <row r="122" spans="1:8" x14ac:dyDescent="0.35">
      <c r="A122" t="s">
        <v>316</v>
      </c>
      <c r="B122" t="s">
        <v>441</v>
      </c>
      <c r="C122" s="2" t="s">
        <v>588</v>
      </c>
      <c r="E122" t="s">
        <v>658</v>
      </c>
      <c r="F122" t="s">
        <v>667</v>
      </c>
      <c r="G122">
        <v>626266</v>
      </c>
      <c r="H122" t="s">
        <v>672</v>
      </c>
    </row>
    <row r="123" spans="1:8" x14ac:dyDescent="0.35">
      <c r="A123" t="s">
        <v>317</v>
      </c>
      <c r="B123" t="s">
        <v>442</v>
      </c>
      <c r="C123" s="2" t="s">
        <v>589</v>
      </c>
      <c r="E123" t="s">
        <v>655</v>
      </c>
      <c r="F123" t="s">
        <v>665</v>
      </c>
      <c r="G123">
        <v>237891</v>
      </c>
      <c r="H123" t="s">
        <v>672</v>
      </c>
    </row>
    <row r="124" spans="1:8" x14ac:dyDescent="0.35">
      <c r="A124" t="s">
        <v>318</v>
      </c>
      <c r="B124" t="s">
        <v>443</v>
      </c>
      <c r="C124" s="2" t="s">
        <v>590</v>
      </c>
      <c r="E124" t="s">
        <v>662</v>
      </c>
      <c r="F124" t="s">
        <v>668</v>
      </c>
      <c r="G124">
        <v>230000</v>
      </c>
      <c r="H124" t="s">
        <v>672</v>
      </c>
    </row>
    <row r="125" spans="1:8" x14ac:dyDescent="0.35">
      <c r="A125" t="s">
        <v>319</v>
      </c>
      <c r="B125" t="s">
        <v>444</v>
      </c>
      <c r="C125" s="2" t="s">
        <v>591</v>
      </c>
      <c r="E125" t="s">
        <v>660</v>
      </c>
      <c r="F125" t="s">
        <v>664</v>
      </c>
      <c r="G125">
        <v>888889</v>
      </c>
      <c r="H125" t="s">
        <v>672</v>
      </c>
    </row>
    <row r="126" spans="1:8" x14ac:dyDescent="0.35">
      <c r="A126" t="s">
        <v>320</v>
      </c>
      <c r="B126" t="s">
        <v>445</v>
      </c>
      <c r="C126" s="2" t="s">
        <v>592</v>
      </c>
      <c r="E126" t="s">
        <v>651</v>
      </c>
      <c r="F126" t="s">
        <v>670</v>
      </c>
      <c r="G126">
        <v>105232</v>
      </c>
      <c r="H126" t="s">
        <v>671</v>
      </c>
    </row>
    <row r="127" spans="1:8" x14ac:dyDescent="0.35">
      <c r="A127" t="s">
        <v>321</v>
      </c>
      <c r="B127" t="s">
        <v>446</v>
      </c>
      <c r="C127" s="2" t="s">
        <v>593</v>
      </c>
      <c r="E127" t="s">
        <v>661</v>
      </c>
      <c r="F127" t="s">
        <v>666</v>
      </c>
      <c r="G127">
        <v>787222</v>
      </c>
      <c r="H127" t="s">
        <v>672</v>
      </c>
    </row>
    <row r="128" spans="1:8" x14ac:dyDescent="0.35">
      <c r="A128" t="s">
        <v>322</v>
      </c>
      <c r="B128" t="s">
        <v>447</v>
      </c>
      <c r="C128" s="2" t="s">
        <v>594</v>
      </c>
      <c r="E128" t="s">
        <v>662</v>
      </c>
      <c r="F128" t="s">
        <v>668</v>
      </c>
      <c r="G128">
        <v>230000</v>
      </c>
      <c r="H128" t="s">
        <v>671</v>
      </c>
    </row>
    <row r="129" spans="1:8" x14ac:dyDescent="0.35">
      <c r="A129" t="s">
        <v>323</v>
      </c>
      <c r="B129" t="s">
        <v>448</v>
      </c>
      <c r="C129" s="2" t="s">
        <v>595</v>
      </c>
      <c r="E129" t="s">
        <v>659</v>
      </c>
      <c r="F129" t="s">
        <v>665</v>
      </c>
      <c r="G129">
        <v>237891</v>
      </c>
      <c r="H129" t="s">
        <v>672</v>
      </c>
    </row>
    <row r="130" spans="1:8" x14ac:dyDescent="0.35">
      <c r="A130" t="s">
        <v>324</v>
      </c>
      <c r="B130" t="s">
        <v>449</v>
      </c>
      <c r="C130" s="2" t="s">
        <v>596</v>
      </c>
      <c r="E130" t="s">
        <v>662</v>
      </c>
      <c r="F130" t="s">
        <v>668</v>
      </c>
      <c r="G130">
        <v>230000</v>
      </c>
      <c r="H130" t="s">
        <v>671</v>
      </c>
    </row>
    <row r="131" spans="1:8" x14ac:dyDescent="0.35">
      <c r="A131" t="s">
        <v>325</v>
      </c>
      <c r="B131" t="s">
        <v>437</v>
      </c>
      <c r="C131" s="2" t="s">
        <v>584</v>
      </c>
      <c r="E131" t="s">
        <v>660</v>
      </c>
      <c r="F131" t="s">
        <v>664</v>
      </c>
      <c r="G131">
        <v>888889</v>
      </c>
      <c r="H131" t="s">
        <v>672</v>
      </c>
    </row>
    <row r="132" spans="1:8" x14ac:dyDescent="0.35">
      <c r="A132" t="s">
        <v>326</v>
      </c>
      <c r="B132" t="s">
        <v>450</v>
      </c>
      <c r="C132" s="2" t="s">
        <v>597</v>
      </c>
      <c r="E132" t="s">
        <v>662</v>
      </c>
      <c r="F132" t="s">
        <v>668</v>
      </c>
      <c r="G132">
        <v>230000</v>
      </c>
      <c r="H132" t="s">
        <v>671</v>
      </c>
    </row>
    <row r="133" spans="1:8" x14ac:dyDescent="0.35">
      <c r="A133" t="s">
        <v>327</v>
      </c>
      <c r="B133" t="s">
        <v>451</v>
      </c>
      <c r="C133" s="2" t="s">
        <v>598</v>
      </c>
      <c r="E133" t="s">
        <v>656</v>
      </c>
      <c r="F133" t="s">
        <v>669</v>
      </c>
      <c r="G133">
        <v>724351</v>
      </c>
      <c r="H133" t="s">
        <v>672</v>
      </c>
    </row>
    <row r="134" spans="1:8" x14ac:dyDescent="0.35">
      <c r="A134" t="s">
        <v>328</v>
      </c>
      <c r="B134" t="s">
        <v>452</v>
      </c>
      <c r="C134" s="2" t="s">
        <v>599</v>
      </c>
      <c r="E134" t="s">
        <v>658</v>
      </c>
      <c r="F134" t="s">
        <v>667</v>
      </c>
      <c r="G134">
        <v>626266</v>
      </c>
      <c r="H134" t="s">
        <v>671</v>
      </c>
    </row>
    <row r="135" spans="1:8" x14ac:dyDescent="0.35">
      <c r="A135" t="s">
        <v>329</v>
      </c>
      <c r="B135" t="s">
        <v>453</v>
      </c>
      <c r="C135" s="2" t="s">
        <v>600</v>
      </c>
      <c r="E135" t="s">
        <v>661</v>
      </c>
      <c r="F135" t="s">
        <v>666</v>
      </c>
      <c r="G135">
        <v>787222</v>
      </c>
      <c r="H135" t="s">
        <v>672</v>
      </c>
    </row>
    <row r="136" spans="1:8" x14ac:dyDescent="0.35">
      <c r="A136" t="s">
        <v>330</v>
      </c>
      <c r="B136" t="s">
        <v>454</v>
      </c>
      <c r="C136" s="2" t="s">
        <v>601</v>
      </c>
      <c r="E136" t="s">
        <v>657</v>
      </c>
      <c r="F136" t="s">
        <v>665</v>
      </c>
      <c r="G136">
        <v>237891</v>
      </c>
      <c r="H136" t="s">
        <v>671</v>
      </c>
    </row>
    <row r="137" spans="1:8" x14ac:dyDescent="0.35">
      <c r="A137" t="s">
        <v>331</v>
      </c>
      <c r="B137" t="s">
        <v>455</v>
      </c>
      <c r="C137" s="2" t="s">
        <v>602</v>
      </c>
      <c r="E137" t="s">
        <v>660</v>
      </c>
      <c r="F137" t="s">
        <v>664</v>
      </c>
      <c r="G137">
        <v>888889</v>
      </c>
      <c r="H137" t="s">
        <v>672</v>
      </c>
    </row>
    <row r="138" spans="1:8" x14ac:dyDescent="0.35">
      <c r="A138" t="s">
        <v>332</v>
      </c>
      <c r="B138" t="s">
        <v>456</v>
      </c>
      <c r="C138" s="2" t="s">
        <v>603</v>
      </c>
      <c r="E138" t="s">
        <v>659</v>
      </c>
      <c r="F138" t="s">
        <v>665</v>
      </c>
      <c r="G138">
        <v>237891</v>
      </c>
      <c r="H138" t="s">
        <v>671</v>
      </c>
    </row>
    <row r="139" spans="1:8" x14ac:dyDescent="0.35">
      <c r="A139" t="s">
        <v>333</v>
      </c>
      <c r="B139" t="s">
        <v>457</v>
      </c>
      <c r="C139" s="2" t="s">
        <v>604</v>
      </c>
      <c r="E139" t="s">
        <v>662</v>
      </c>
      <c r="F139" t="s">
        <v>668</v>
      </c>
      <c r="G139">
        <v>230000</v>
      </c>
      <c r="H139" t="s">
        <v>672</v>
      </c>
    </row>
    <row r="140" spans="1:8" x14ac:dyDescent="0.35">
      <c r="A140" t="s">
        <v>334</v>
      </c>
      <c r="B140" t="s">
        <v>458</v>
      </c>
      <c r="C140" s="2" t="s">
        <v>605</v>
      </c>
      <c r="E140" t="s">
        <v>654</v>
      </c>
      <c r="F140" t="s">
        <v>665</v>
      </c>
      <c r="G140">
        <v>237891</v>
      </c>
      <c r="H140" t="s">
        <v>671</v>
      </c>
    </row>
    <row r="141" spans="1:8" x14ac:dyDescent="0.35">
      <c r="A141" t="s">
        <v>335</v>
      </c>
      <c r="B141" t="s">
        <v>459</v>
      </c>
      <c r="C141" s="2" t="s">
        <v>606</v>
      </c>
      <c r="E141" t="s">
        <v>655</v>
      </c>
      <c r="F141" t="s">
        <v>665</v>
      </c>
      <c r="G141">
        <v>237891</v>
      </c>
      <c r="H141" t="s">
        <v>672</v>
      </c>
    </row>
    <row r="142" spans="1:8" x14ac:dyDescent="0.35">
      <c r="A142" t="s">
        <v>336</v>
      </c>
      <c r="B142" t="s">
        <v>460</v>
      </c>
      <c r="C142" s="2" t="s">
        <v>607</v>
      </c>
      <c r="E142" t="s">
        <v>660</v>
      </c>
      <c r="F142" t="s">
        <v>664</v>
      </c>
      <c r="G142">
        <v>888889</v>
      </c>
      <c r="H142" t="s">
        <v>671</v>
      </c>
    </row>
    <row r="143" spans="1:8" x14ac:dyDescent="0.35">
      <c r="A143" t="s">
        <v>337</v>
      </c>
      <c r="B143" t="s">
        <v>471</v>
      </c>
      <c r="C143" s="2" t="s">
        <v>608</v>
      </c>
      <c r="E143" t="s">
        <v>658</v>
      </c>
      <c r="F143" t="s">
        <v>667</v>
      </c>
      <c r="G143">
        <v>626266</v>
      </c>
      <c r="H143" t="s">
        <v>672</v>
      </c>
    </row>
    <row r="144" spans="1:8" x14ac:dyDescent="0.35">
      <c r="A144" t="s">
        <v>338</v>
      </c>
      <c r="B144" t="s">
        <v>472</v>
      </c>
      <c r="C144" s="2" t="s">
        <v>609</v>
      </c>
      <c r="E144" t="s">
        <v>660</v>
      </c>
      <c r="F144" t="s">
        <v>664</v>
      </c>
      <c r="G144">
        <v>888889</v>
      </c>
      <c r="H144" t="s">
        <v>671</v>
      </c>
    </row>
    <row r="145" spans="1:8" x14ac:dyDescent="0.35">
      <c r="A145" t="s">
        <v>339</v>
      </c>
      <c r="B145" t="s">
        <v>473</v>
      </c>
      <c r="C145" s="2" t="s">
        <v>610</v>
      </c>
      <c r="E145" t="s">
        <v>657</v>
      </c>
      <c r="F145" t="s">
        <v>665</v>
      </c>
      <c r="G145">
        <v>237891</v>
      </c>
      <c r="H145" t="s">
        <v>672</v>
      </c>
    </row>
    <row r="146" spans="1:8" x14ac:dyDescent="0.35">
      <c r="A146" t="s">
        <v>340</v>
      </c>
      <c r="B146" t="s">
        <v>474</v>
      </c>
      <c r="C146" s="2" t="s">
        <v>611</v>
      </c>
      <c r="E146" t="s">
        <v>661</v>
      </c>
      <c r="F146" t="s">
        <v>666</v>
      </c>
      <c r="G146">
        <v>787222</v>
      </c>
      <c r="H146" t="s">
        <v>671</v>
      </c>
    </row>
    <row r="147" spans="1:8" x14ac:dyDescent="0.35">
      <c r="A147" t="s">
        <v>341</v>
      </c>
      <c r="B147" t="s">
        <v>475</v>
      </c>
      <c r="C147" s="2" t="s">
        <v>612</v>
      </c>
      <c r="E147" t="s">
        <v>659</v>
      </c>
      <c r="F147" t="s">
        <v>665</v>
      </c>
      <c r="G147">
        <v>237891</v>
      </c>
      <c r="H147" t="s">
        <v>672</v>
      </c>
    </row>
    <row r="148" spans="1:8" x14ac:dyDescent="0.35">
      <c r="A148" t="s">
        <v>342</v>
      </c>
      <c r="B148" t="s">
        <v>476</v>
      </c>
      <c r="C148" s="2" t="s">
        <v>613</v>
      </c>
      <c r="E148" t="s">
        <v>653</v>
      </c>
      <c r="F148" t="s">
        <v>670</v>
      </c>
      <c r="G148">
        <v>105232</v>
      </c>
      <c r="H148" t="s">
        <v>671</v>
      </c>
    </row>
    <row r="149" spans="1:8" x14ac:dyDescent="0.35">
      <c r="A149" t="s">
        <v>343</v>
      </c>
      <c r="B149" t="s">
        <v>477</v>
      </c>
      <c r="C149" s="2" t="s">
        <v>614</v>
      </c>
      <c r="E149" t="s">
        <v>662</v>
      </c>
      <c r="F149" t="s">
        <v>668</v>
      </c>
      <c r="G149">
        <v>230000</v>
      </c>
      <c r="H149" t="s">
        <v>672</v>
      </c>
    </row>
    <row r="150" spans="1:8" x14ac:dyDescent="0.35">
      <c r="A150" t="s">
        <v>344</v>
      </c>
      <c r="B150" t="s">
        <v>455</v>
      </c>
      <c r="C150" s="2" t="s">
        <v>602</v>
      </c>
      <c r="E150" t="s">
        <v>656</v>
      </c>
      <c r="F150" t="s">
        <v>669</v>
      </c>
      <c r="G150">
        <v>724351</v>
      </c>
      <c r="H150" t="s">
        <v>671</v>
      </c>
    </row>
    <row r="151" spans="1:8" x14ac:dyDescent="0.35">
      <c r="A151" t="s">
        <v>345</v>
      </c>
      <c r="B151" t="s">
        <v>478</v>
      </c>
      <c r="C151" s="2" t="s">
        <v>615</v>
      </c>
      <c r="E151" t="s">
        <v>660</v>
      </c>
      <c r="F151" t="s">
        <v>664</v>
      </c>
      <c r="G151">
        <v>888889</v>
      </c>
      <c r="H151" t="s">
        <v>672</v>
      </c>
    </row>
    <row r="152" spans="1:8" x14ac:dyDescent="0.35">
      <c r="A152" t="s">
        <v>346</v>
      </c>
      <c r="B152" t="s">
        <v>479</v>
      </c>
      <c r="C152" s="2" t="s">
        <v>616</v>
      </c>
      <c r="E152" t="s">
        <v>657</v>
      </c>
      <c r="F152" t="s">
        <v>665</v>
      </c>
      <c r="G152">
        <v>237891</v>
      </c>
      <c r="H152" t="s">
        <v>672</v>
      </c>
    </row>
    <row r="153" spans="1:8" x14ac:dyDescent="0.35">
      <c r="A153" t="s">
        <v>347</v>
      </c>
      <c r="B153" t="s">
        <v>480</v>
      </c>
      <c r="C153" s="2" t="s">
        <v>617</v>
      </c>
      <c r="E153" t="s">
        <v>661</v>
      </c>
      <c r="F153" t="s">
        <v>666</v>
      </c>
      <c r="G153">
        <v>787222</v>
      </c>
      <c r="H153" t="s">
        <v>672</v>
      </c>
    </row>
    <row r="154" spans="1:8" x14ac:dyDescent="0.35">
      <c r="A154" t="s">
        <v>348</v>
      </c>
      <c r="B154" t="s">
        <v>481</v>
      </c>
      <c r="C154" s="2" t="s">
        <v>618</v>
      </c>
      <c r="E154" t="s">
        <v>658</v>
      </c>
      <c r="F154" t="s">
        <v>667</v>
      </c>
      <c r="G154">
        <v>626266</v>
      </c>
      <c r="H154" t="s">
        <v>671</v>
      </c>
    </row>
    <row r="155" spans="1:8" x14ac:dyDescent="0.35">
      <c r="A155" t="s">
        <v>349</v>
      </c>
      <c r="B155" t="s">
        <v>482</v>
      </c>
      <c r="C155" s="2" t="s">
        <v>619</v>
      </c>
      <c r="E155" t="s">
        <v>662</v>
      </c>
      <c r="F155" t="s">
        <v>668</v>
      </c>
      <c r="G155">
        <v>230000</v>
      </c>
      <c r="H155" t="s">
        <v>671</v>
      </c>
    </row>
    <row r="156" spans="1:8" x14ac:dyDescent="0.35">
      <c r="A156" t="s">
        <v>350</v>
      </c>
      <c r="B156" t="s">
        <v>445</v>
      </c>
      <c r="C156" s="2" t="s">
        <v>592</v>
      </c>
      <c r="E156" t="s">
        <v>659</v>
      </c>
      <c r="F156" t="s">
        <v>665</v>
      </c>
      <c r="G156">
        <v>237891</v>
      </c>
      <c r="H156" t="s">
        <v>671</v>
      </c>
    </row>
    <row r="157" spans="1:8" x14ac:dyDescent="0.35">
      <c r="A157" t="s">
        <v>351</v>
      </c>
      <c r="B157" t="s">
        <v>483</v>
      </c>
      <c r="C157" s="2" t="s">
        <v>620</v>
      </c>
      <c r="E157" t="s">
        <v>657</v>
      </c>
      <c r="F157" t="s">
        <v>665</v>
      </c>
      <c r="G157">
        <v>237891</v>
      </c>
      <c r="H157" t="s">
        <v>671</v>
      </c>
    </row>
    <row r="158" spans="1:8" x14ac:dyDescent="0.35">
      <c r="A158" t="s">
        <v>352</v>
      </c>
      <c r="B158" t="s">
        <v>484</v>
      </c>
      <c r="C158" s="2" t="s">
        <v>621</v>
      </c>
      <c r="E158" t="s">
        <v>660</v>
      </c>
      <c r="F158" t="s">
        <v>664</v>
      </c>
      <c r="G158">
        <v>888889</v>
      </c>
      <c r="H158" t="s">
        <v>671</v>
      </c>
    </row>
    <row r="159" spans="1:8" x14ac:dyDescent="0.35">
      <c r="A159" t="s">
        <v>353</v>
      </c>
      <c r="B159" t="s">
        <v>485</v>
      </c>
      <c r="C159" s="2" t="s">
        <v>622</v>
      </c>
      <c r="E159" t="s">
        <v>657</v>
      </c>
      <c r="F159" t="s">
        <v>665</v>
      </c>
      <c r="G159">
        <v>237891</v>
      </c>
      <c r="H159" t="s">
        <v>671</v>
      </c>
    </row>
    <row r="160" spans="1:8" x14ac:dyDescent="0.35">
      <c r="A160" t="s">
        <v>354</v>
      </c>
      <c r="B160" t="s">
        <v>486</v>
      </c>
      <c r="C160" s="2" t="s">
        <v>623</v>
      </c>
      <c r="E160" t="s">
        <v>661</v>
      </c>
      <c r="F160" t="s">
        <v>666</v>
      </c>
      <c r="G160">
        <v>787222</v>
      </c>
      <c r="H160" t="s">
        <v>671</v>
      </c>
    </row>
    <row r="161" spans="1:8" x14ac:dyDescent="0.35">
      <c r="A161" t="s">
        <v>355</v>
      </c>
      <c r="B161" t="s">
        <v>487</v>
      </c>
      <c r="C161" s="2" t="s">
        <v>624</v>
      </c>
      <c r="E161" t="s">
        <v>660</v>
      </c>
      <c r="F161" t="s">
        <v>664</v>
      </c>
      <c r="G161">
        <v>888889</v>
      </c>
      <c r="H161" t="s">
        <v>671</v>
      </c>
    </row>
    <row r="162" spans="1:8" x14ac:dyDescent="0.35">
      <c r="A162" t="s">
        <v>356</v>
      </c>
      <c r="B162" t="s">
        <v>488</v>
      </c>
      <c r="C162" s="2" t="s">
        <v>625</v>
      </c>
      <c r="E162" t="s">
        <v>651</v>
      </c>
      <c r="F162" t="s">
        <v>670</v>
      </c>
      <c r="G162">
        <v>105232</v>
      </c>
      <c r="H162" t="s">
        <v>671</v>
      </c>
    </row>
    <row r="163" spans="1:8" x14ac:dyDescent="0.35">
      <c r="A163" t="s">
        <v>357</v>
      </c>
      <c r="B163" t="s">
        <v>489</v>
      </c>
      <c r="C163" s="2" t="s">
        <v>626</v>
      </c>
      <c r="E163" t="s">
        <v>662</v>
      </c>
      <c r="F163" t="s">
        <v>668</v>
      </c>
      <c r="G163">
        <v>230000</v>
      </c>
      <c r="H163" t="s">
        <v>671</v>
      </c>
    </row>
    <row r="164" spans="1:8" x14ac:dyDescent="0.35">
      <c r="A164" t="s">
        <v>358</v>
      </c>
      <c r="B164" t="s">
        <v>490</v>
      </c>
      <c r="C164" s="2" t="s">
        <v>627</v>
      </c>
      <c r="E164" t="s">
        <v>656</v>
      </c>
      <c r="F164" t="s">
        <v>669</v>
      </c>
      <c r="G164">
        <v>724351</v>
      </c>
      <c r="H164" t="s">
        <v>671</v>
      </c>
    </row>
    <row r="165" spans="1:8" x14ac:dyDescent="0.35">
      <c r="A165" t="s">
        <v>359</v>
      </c>
      <c r="B165" t="s">
        <v>491</v>
      </c>
      <c r="C165" s="2" t="s">
        <v>628</v>
      </c>
      <c r="E165" t="s">
        <v>655</v>
      </c>
      <c r="F165" t="s">
        <v>665</v>
      </c>
      <c r="G165">
        <v>237891</v>
      </c>
      <c r="H165" t="s">
        <v>672</v>
      </c>
    </row>
    <row r="166" spans="1:8" x14ac:dyDescent="0.35">
      <c r="A166" t="s">
        <v>360</v>
      </c>
      <c r="B166" t="s">
        <v>492</v>
      </c>
      <c r="C166" s="2" t="s">
        <v>629</v>
      </c>
      <c r="E166" t="s">
        <v>661</v>
      </c>
      <c r="F166" t="s">
        <v>666</v>
      </c>
      <c r="G166">
        <v>787222</v>
      </c>
      <c r="H166" t="s">
        <v>672</v>
      </c>
    </row>
    <row r="167" spans="1:8" x14ac:dyDescent="0.35">
      <c r="A167" t="s">
        <v>361</v>
      </c>
      <c r="B167" t="s">
        <v>479</v>
      </c>
      <c r="C167" s="2" t="s">
        <v>616</v>
      </c>
      <c r="E167" t="s">
        <v>662</v>
      </c>
      <c r="F167" t="s">
        <v>668</v>
      </c>
      <c r="G167">
        <v>230000</v>
      </c>
      <c r="H167" t="s">
        <v>672</v>
      </c>
    </row>
    <row r="168" spans="1:8" x14ac:dyDescent="0.35">
      <c r="A168" t="s">
        <v>362</v>
      </c>
      <c r="B168" t="s">
        <v>493</v>
      </c>
      <c r="C168" s="2" t="s">
        <v>630</v>
      </c>
      <c r="E168" t="s">
        <v>658</v>
      </c>
      <c r="F168" t="s">
        <v>667</v>
      </c>
      <c r="G168">
        <v>626266</v>
      </c>
      <c r="H168" t="s">
        <v>672</v>
      </c>
    </row>
    <row r="169" spans="1:8" x14ac:dyDescent="0.35">
      <c r="A169" t="s">
        <v>363</v>
      </c>
      <c r="B169" t="s">
        <v>494</v>
      </c>
      <c r="C169" s="2" t="s">
        <v>631</v>
      </c>
      <c r="E169" t="s">
        <v>661</v>
      </c>
      <c r="F169" t="s">
        <v>666</v>
      </c>
      <c r="G169">
        <v>787222</v>
      </c>
      <c r="H169" t="s">
        <v>672</v>
      </c>
    </row>
    <row r="170" spans="1:8" x14ac:dyDescent="0.35">
      <c r="A170" t="s">
        <v>364</v>
      </c>
      <c r="B170" t="s">
        <v>495</v>
      </c>
      <c r="C170" s="2" t="s">
        <v>632</v>
      </c>
      <c r="E170" t="s">
        <v>659</v>
      </c>
      <c r="F170" t="s">
        <v>665</v>
      </c>
      <c r="G170">
        <v>237891</v>
      </c>
      <c r="H170" t="s">
        <v>672</v>
      </c>
    </row>
    <row r="171" spans="1:8" x14ac:dyDescent="0.35">
      <c r="A171" t="s">
        <v>365</v>
      </c>
      <c r="B171" t="s">
        <v>496</v>
      </c>
      <c r="C171" s="2" t="s">
        <v>633</v>
      </c>
      <c r="E171" t="s">
        <v>660</v>
      </c>
      <c r="F171" t="s">
        <v>664</v>
      </c>
      <c r="G171">
        <v>888889</v>
      </c>
      <c r="H171" t="s">
        <v>671</v>
      </c>
    </row>
    <row r="172" spans="1:8" x14ac:dyDescent="0.35">
      <c r="A172" t="s">
        <v>366</v>
      </c>
      <c r="B172" t="s">
        <v>497</v>
      </c>
      <c r="C172" s="2" t="s">
        <v>634</v>
      </c>
      <c r="E172" t="s">
        <v>657</v>
      </c>
      <c r="F172" t="s">
        <v>665</v>
      </c>
      <c r="G172">
        <v>237891</v>
      </c>
      <c r="H172" t="s">
        <v>671</v>
      </c>
    </row>
    <row r="173" spans="1:8" x14ac:dyDescent="0.35">
      <c r="A173" t="s">
        <v>367</v>
      </c>
      <c r="B173" t="s">
        <v>498</v>
      </c>
      <c r="C173" s="2" t="s">
        <v>635</v>
      </c>
      <c r="E173" t="s">
        <v>662</v>
      </c>
      <c r="F173" t="s">
        <v>668</v>
      </c>
      <c r="G173">
        <v>230000</v>
      </c>
      <c r="H173" t="s">
        <v>671</v>
      </c>
    </row>
    <row r="174" spans="1:8" x14ac:dyDescent="0.35">
      <c r="A174" t="s">
        <v>368</v>
      </c>
      <c r="B174" t="s">
        <v>462</v>
      </c>
      <c r="C174" s="2" t="s">
        <v>561</v>
      </c>
      <c r="E174" t="s">
        <v>658</v>
      </c>
      <c r="F174" t="s">
        <v>667</v>
      </c>
      <c r="G174">
        <v>626266</v>
      </c>
      <c r="H174" t="s">
        <v>671</v>
      </c>
    </row>
    <row r="175" spans="1:8" x14ac:dyDescent="0.35">
      <c r="A175" t="s">
        <v>369</v>
      </c>
      <c r="B175" t="s">
        <v>499</v>
      </c>
      <c r="C175" s="2" t="s">
        <v>636</v>
      </c>
      <c r="E175" t="s">
        <v>661</v>
      </c>
      <c r="F175" t="s">
        <v>666</v>
      </c>
      <c r="G175">
        <v>787222</v>
      </c>
      <c r="H175" t="s">
        <v>672</v>
      </c>
    </row>
    <row r="176" spans="1:8" x14ac:dyDescent="0.35">
      <c r="A176" t="s">
        <v>370</v>
      </c>
      <c r="B176" t="s">
        <v>500</v>
      </c>
      <c r="C176" s="2" t="s">
        <v>637</v>
      </c>
      <c r="E176" t="s">
        <v>659</v>
      </c>
      <c r="F176" t="s">
        <v>665</v>
      </c>
      <c r="G176">
        <v>237891</v>
      </c>
      <c r="H176" t="s">
        <v>671</v>
      </c>
    </row>
    <row r="177" spans="1:8" x14ac:dyDescent="0.35">
      <c r="A177" t="s">
        <v>371</v>
      </c>
      <c r="B177" t="s">
        <v>501</v>
      </c>
      <c r="C177" s="2" t="s">
        <v>638</v>
      </c>
      <c r="E177" t="s">
        <v>657</v>
      </c>
      <c r="F177" t="s">
        <v>665</v>
      </c>
      <c r="G177">
        <v>237891</v>
      </c>
      <c r="H177" t="s">
        <v>671</v>
      </c>
    </row>
    <row r="178" spans="1:8" x14ac:dyDescent="0.35">
      <c r="A178" t="s">
        <v>372</v>
      </c>
      <c r="B178" t="s">
        <v>502</v>
      </c>
      <c r="C178" s="2" t="s">
        <v>639</v>
      </c>
      <c r="E178" t="s">
        <v>653</v>
      </c>
      <c r="F178" t="s">
        <v>670</v>
      </c>
      <c r="G178">
        <v>105232</v>
      </c>
      <c r="H178" t="s">
        <v>672</v>
      </c>
    </row>
    <row r="179" spans="1:8" x14ac:dyDescent="0.35">
      <c r="A179" t="s">
        <v>373</v>
      </c>
      <c r="B179" t="s">
        <v>503</v>
      </c>
      <c r="C179" s="2" t="s">
        <v>640</v>
      </c>
      <c r="E179" t="s">
        <v>660</v>
      </c>
      <c r="F179" t="s">
        <v>664</v>
      </c>
      <c r="G179">
        <v>888889</v>
      </c>
      <c r="H179" t="s">
        <v>671</v>
      </c>
    </row>
    <row r="180" spans="1:8" x14ac:dyDescent="0.35">
      <c r="A180" t="s">
        <v>374</v>
      </c>
      <c r="B180" t="s">
        <v>504</v>
      </c>
      <c r="C180" s="2" t="s">
        <v>641</v>
      </c>
      <c r="E180" t="s">
        <v>652</v>
      </c>
      <c r="F180" t="s">
        <v>670</v>
      </c>
      <c r="G180">
        <v>105232</v>
      </c>
      <c r="H180" t="s">
        <v>671</v>
      </c>
    </row>
    <row r="181" spans="1:8" x14ac:dyDescent="0.35">
      <c r="A181" t="s">
        <v>375</v>
      </c>
      <c r="B181" t="s">
        <v>505</v>
      </c>
      <c r="C181" s="2" t="s">
        <v>642</v>
      </c>
      <c r="E181" t="s">
        <v>660</v>
      </c>
      <c r="F181" t="s">
        <v>664</v>
      </c>
      <c r="G181">
        <v>888889</v>
      </c>
      <c r="H181" t="s">
        <v>671</v>
      </c>
    </row>
    <row r="182" spans="1:8" x14ac:dyDescent="0.35">
      <c r="A182" t="s">
        <v>376</v>
      </c>
      <c r="B182" t="s">
        <v>454</v>
      </c>
      <c r="C182" s="2" t="s">
        <v>601</v>
      </c>
      <c r="E182" t="s">
        <v>654</v>
      </c>
      <c r="F182" t="s">
        <v>665</v>
      </c>
      <c r="G182">
        <v>237891</v>
      </c>
      <c r="H182" t="s">
        <v>671</v>
      </c>
    </row>
    <row r="183" spans="1:8" x14ac:dyDescent="0.35">
      <c r="A183" t="s">
        <v>377</v>
      </c>
      <c r="B183" t="s">
        <v>506</v>
      </c>
      <c r="C183" s="2" t="s">
        <v>643</v>
      </c>
      <c r="E183" t="s">
        <v>655</v>
      </c>
      <c r="F183" t="s">
        <v>665</v>
      </c>
      <c r="G183">
        <v>237891</v>
      </c>
      <c r="H183" t="s">
        <v>671</v>
      </c>
    </row>
    <row r="184" spans="1:8" x14ac:dyDescent="0.35">
      <c r="A184" t="s">
        <v>378</v>
      </c>
      <c r="B184" t="s">
        <v>507</v>
      </c>
      <c r="C184" s="2" t="s">
        <v>644</v>
      </c>
      <c r="E184" t="s">
        <v>657</v>
      </c>
      <c r="F184" t="s">
        <v>665</v>
      </c>
      <c r="G184">
        <v>237891</v>
      </c>
      <c r="H184" t="s">
        <v>671</v>
      </c>
    </row>
    <row r="185" spans="1:8" x14ac:dyDescent="0.35">
      <c r="A185" t="s">
        <v>379</v>
      </c>
      <c r="B185" t="s">
        <v>508</v>
      </c>
      <c r="C185" s="2" t="s">
        <v>645</v>
      </c>
      <c r="E185" t="s">
        <v>656</v>
      </c>
      <c r="F185" t="s">
        <v>669</v>
      </c>
      <c r="G185">
        <v>724351</v>
      </c>
      <c r="H185" t="s">
        <v>672</v>
      </c>
    </row>
    <row r="186" spans="1:8" x14ac:dyDescent="0.35">
      <c r="A186" t="s">
        <v>380</v>
      </c>
      <c r="B186" t="s">
        <v>509</v>
      </c>
      <c r="C186" s="2" t="s">
        <v>646</v>
      </c>
      <c r="E186" t="s">
        <v>653</v>
      </c>
      <c r="F186" t="s">
        <v>670</v>
      </c>
      <c r="G186">
        <v>105232</v>
      </c>
      <c r="H186" t="s">
        <v>671</v>
      </c>
    </row>
    <row r="187" spans="1:8" x14ac:dyDescent="0.35">
      <c r="A187" t="s">
        <v>381</v>
      </c>
      <c r="B187" t="s">
        <v>510</v>
      </c>
      <c r="C187" s="2" t="s">
        <v>647</v>
      </c>
      <c r="E187" t="s">
        <v>658</v>
      </c>
      <c r="F187" t="s">
        <v>667</v>
      </c>
      <c r="G187">
        <v>626266</v>
      </c>
      <c r="H187" t="s">
        <v>671</v>
      </c>
    </row>
    <row r="188" spans="1:8" x14ac:dyDescent="0.35">
      <c r="A188" t="s">
        <v>382</v>
      </c>
      <c r="B188" t="s">
        <v>511</v>
      </c>
      <c r="C188" s="2" t="s">
        <v>648</v>
      </c>
      <c r="E188" t="s">
        <v>656</v>
      </c>
      <c r="F188" t="s">
        <v>669</v>
      </c>
      <c r="G188">
        <v>724351</v>
      </c>
      <c r="H188" t="s">
        <v>671</v>
      </c>
    </row>
    <row r="189" spans="1:8" x14ac:dyDescent="0.35">
      <c r="A189" t="s">
        <v>383</v>
      </c>
      <c r="B189" t="s">
        <v>512</v>
      </c>
      <c r="C189" s="2" t="s">
        <v>649</v>
      </c>
      <c r="E189" t="s">
        <v>651</v>
      </c>
      <c r="F189" t="s">
        <v>670</v>
      </c>
      <c r="G189">
        <v>105232</v>
      </c>
      <c r="H189" t="s">
        <v>671</v>
      </c>
    </row>
    <row r="190" spans="1:8" x14ac:dyDescent="0.35">
      <c r="A190" t="s">
        <v>384</v>
      </c>
      <c r="B190" t="s">
        <v>513</v>
      </c>
      <c r="C190" s="2" t="s">
        <v>650</v>
      </c>
      <c r="E190" t="s">
        <v>655</v>
      </c>
      <c r="F190" t="s">
        <v>665</v>
      </c>
      <c r="G190">
        <v>237891</v>
      </c>
      <c r="H190" t="s">
        <v>672</v>
      </c>
    </row>
  </sheetData>
  <hyperlinks>
    <hyperlink ref="C2" r:id="rId1"/>
    <hyperlink ref="C3:C22" r:id="rId2" display="zai12@gmail.com"/>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C37" r:id="rId23" display="zai12@gmail.com"/>
    <hyperlink ref="C23" r:id="rId24"/>
    <hyperlink ref="C24" r:id="rId25"/>
    <hyperlink ref="C25" r:id="rId26"/>
    <hyperlink ref="C26" r:id="rId27"/>
    <hyperlink ref="C27" r:id="rId28"/>
    <hyperlink ref="C28" r:id="rId29"/>
    <hyperlink ref="C29" r:id="rId30"/>
    <hyperlink ref="C30" r:id="rId31"/>
    <hyperlink ref="C31" r:id="rId32"/>
    <hyperlink ref="C32" r:id="rId33"/>
    <hyperlink ref="C33" r:id="rId34"/>
    <hyperlink ref="C34" r:id="rId35"/>
    <hyperlink ref="C35" r:id="rId36"/>
    <hyperlink ref="C36" r:id="rId37"/>
    <hyperlink ref="C37" r:id="rId38"/>
    <hyperlink ref="C38:C46" r:id="rId39" display="zai12@gmail.com"/>
    <hyperlink ref="C38" r:id="rId40"/>
    <hyperlink ref="C39" r:id="rId41"/>
    <hyperlink ref="C40" r:id="rId42"/>
    <hyperlink ref="C41" r:id="rId43"/>
    <hyperlink ref="C42" r:id="rId44"/>
    <hyperlink ref="C43" r:id="rId45"/>
    <hyperlink ref="C44" r:id="rId46"/>
    <hyperlink ref="C45" r:id="rId47"/>
    <hyperlink ref="C46" r:id="rId48"/>
    <hyperlink ref="C47" r:id="rId49"/>
    <hyperlink ref="C48" r:id="rId50"/>
    <hyperlink ref="C49" r:id="rId51"/>
    <hyperlink ref="C50" r:id="rId52"/>
    <hyperlink ref="C51" r:id="rId53"/>
    <hyperlink ref="C52" r:id="rId54"/>
    <hyperlink ref="C53" r:id="rId55"/>
    <hyperlink ref="C54" r:id="rId56"/>
    <hyperlink ref="C55" r:id="rId57"/>
    <hyperlink ref="C56" r:id="rId58"/>
    <hyperlink ref="C57" r:id="rId59"/>
    <hyperlink ref="C58" r:id="rId60"/>
    <hyperlink ref="C59" r:id="rId61"/>
    <hyperlink ref="C60" r:id="rId62"/>
    <hyperlink ref="C61" r:id="rId63"/>
    <hyperlink ref="C62" r:id="rId64"/>
    <hyperlink ref="C63" r:id="rId65"/>
    <hyperlink ref="C64" r:id="rId66"/>
    <hyperlink ref="C65" r:id="rId67"/>
    <hyperlink ref="C66" r:id="rId68"/>
    <hyperlink ref="C67" r:id="rId69"/>
    <hyperlink ref="C68" r:id="rId70"/>
    <hyperlink ref="C69" r:id="rId71"/>
    <hyperlink ref="C70" r:id="rId72"/>
    <hyperlink ref="C71" r:id="rId73"/>
    <hyperlink ref="C72" r:id="rId74"/>
    <hyperlink ref="C73" r:id="rId75"/>
    <hyperlink ref="C74" r:id="rId76"/>
    <hyperlink ref="C75" r:id="rId77"/>
    <hyperlink ref="C76" r:id="rId78"/>
    <hyperlink ref="C77" r:id="rId79"/>
    <hyperlink ref="C78" r:id="rId80"/>
    <hyperlink ref="C79" r:id="rId81"/>
    <hyperlink ref="C80" r:id="rId82"/>
    <hyperlink ref="C81" r:id="rId83"/>
    <hyperlink ref="C82" r:id="rId84"/>
    <hyperlink ref="C83" r:id="rId85"/>
    <hyperlink ref="C84" r:id="rId86"/>
    <hyperlink ref="C85" r:id="rId87"/>
    <hyperlink ref="C86" r:id="rId88"/>
    <hyperlink ref="C87" r:id="rId89"/>
    <hyperlink ref="C88" r:id="rId90"/>
    <hyperlink ref="C89" r:id="rId91"/>
    <hyperlink ref="C90" r:id="rId92"/>
    <hyperlink ref="C91" r:id="rId93"/>
    <hyperlink ref="C92" r:id="rId94"/>
    <hyperlink ref="C93" r:id="rId95"/>
    <hyperlink ref="C94" r:id="rId96"/>
    <hyperlink ref="C95" r:id="rId97"/>
    <hyperlink ref="C96" r:id="rId98"/>
    <hyperlink ref="C97" r:id="rId99"/>
    <hyperlink ref="C98" r:id="rId100"/>
    <hyperlink ref="C99" r:id="rId101"/>
    <hyperlink ref="C100" r:id="rId102"/>
    <hyperlink ref="C101" r:id="rId103"/>
    <hyperlink ref="C102" r:id="rId104"/>
    <hyperlink ref="C103" r:id="rId105"/>
    <hyperlink ref="C104" r:id="rId106"/>
    <hyperlink ref="C105" r:id="rId107"/>
    <hyperlink ref="C106" r:id="rId108"/>
    <hyperlink ref="C107" r:id="rId109"/>
    <hyperlink ref="C108" r:id="rId110"/>
    <hyperlink ref="C109" r:id="rId111"/>
    <hyperlink ref="C110" r:id="rId112"/>
    <hyperlink ref="C111" r:id="rId113"/>
    <hyperlink ref="C112" r:id="rId114"/>
    <hyperlink ref="C113" r:id="rId115"/>
    <hyperlink ref="C114" r:id="rId116"/>
    <hyperlink ref="C115" r:id="rId117"/>
    <hyperlink ref="C116" r:id="rId118"/>
    <hyperlink ref="C117" r:id="rId119"/>
    <hyperlink ref="C118" r:id="rId120"/>
    <hyperlink ref="C119" r:id="rId121"/>
    <hyperlink ref="C120" r:id="rId122"/>
    <hyperlink ref="C121" r:id="rId123"/>
    <hyperlink ref="C122" r:id="rId124"/>
    <hyperlink ref="C123" r:id="rId125"/>
    <hyperlink ref="C124" r:id="rId126"/>
    <hyperlink ref="C125" r:id="rId127"/>
    <hyperlink ref="C126" r:id="rId128"/>
    <hyperlink ref="C127" r:id="rId129"/>
    <hyperlink ref="C128" r:id="rId130"/>
    <hyperlink ref="C129" r:id="rId131"/>
    <hyperlink ref="C130" r:id="rId132"/>
    <hyperlink ref="C131" r:id="rId133"/>
    <hyperlink ref="C132" r:id="rId134"/>
    <hyperlink ref="C133" r:id="rId135"/>
    <hyperlink ref="C134" r:id="rId136"/>
    <hyperlink ref="C135" r:id="rId137"/>
    <hyperlink ref="C136" r:id="rId138"/>
    <hyperlink ref="C137" r:id="rId139"/>
    <hyperlink ref="C138" r:id="rId140"/>
    <hyperlink ref="C139" r:id="rId141"/>
    <hyperlink ref="C141" r:id="rId142"/>
    <hyperlink ref="C142" r:id="rId143"/>
    <hyperlink ref="C143" r:id="rId144"/>
    <hyperlink ref="C144" r:id="rId145"/>
    <hyperlink ref="C145" r:id="rId146"/>
    <hyperlink ref="C146" r:id="rId147"/>
    <hyperlink ref="C147" r:id="rId148"/>
    <hyperlink ref="C148" r:id="rId149"/>
    <hyperlink ref="C149" r:id="rId150"/>
    <hyperlink ref="C150" r:id="rId151"/>
    <hyperlink ref="C151" r:id="rId152"/>
    <hyperlink ref="C152" r:id="rId153"/>
    <hyperlink ref="C153" r:id="rId154"/>
    <hyperlink ref="C154" r:id="rId155"/>
    <hyperlink ref="C155" r:id="rId156"/>
    <hyperlink ref="C156" r:id="rId157"/>
    <hyperlink ref="C157" r:id="rId158"/>
    <hyperlink ref="C158" r:id="rId159"/>
    <hyperlink ref="C159" r:id="rId160"/>
    <hyperlink ref="C160" r:id="rId161"/>
    <hyperlink ref="C161" r:id="rId162"/>
    <hyperlink ref="C162" r:id="rId163"/>
    <hyperlink ref="C163" r:id="rId164"/>
    <hyperlink ref="C164" r:id="rId165"/>
    <hyperlink ref="C165" r:id="rId166"/>
    <hyperlink ref="C166" r:id="rId167"/>
    <hyperlink ref="C167" r:id="rId168"/>
    <hyperlink ref="C168" r:id="rId169"/>
    <hyperlink ref="C169" r:id="rId170"/>
    <hyperlink ref="C170" r:id="rId171"/>
    <hyperlink ref="C171" r:id="rId172"/>
    <hyperlink ref="C172" r:id="rId173"/>
    <hyperlink ref="C173" r:id="rId174"/>
    <hyperlink ref="C174" r:id="rId175"/>
    <hyperlink ref="C175" r:id="rId176"/>
    <hyperlink ref="C176" r:id="rId177"/>
    <hyperlink ref="C177" r:id="rId178"/>
    <hyperlink ref="C178" r:id="rId179"/>
    <hyperlink ref="C179" r:id="rId180"/>
    <hyperlink ref="C180" r:id="rId181"/>
    <hyperlink ref="C181" r:id="rId182"/>
    <hyperlink ref="C182" r:id="rId183"/>
    <hyperlink ref="C183" r:id="rId184"/>
    <hyperlink ref="C184" r:id="rId185"/>
    <hyperlink ref="C185" r:id="rId186"/>
    <hyperlink ref="C186" r:id="rId187"/>
    <hyperlink ref="C187" r:id="rId188"/>
    <hyperlink ref="C188" r:id="rId189"/>
    <hyperlink ref="C189" r:id="rId190"/>
    <hyperlink ref="C190" r:id="rId19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0"/>
  <sheetViews>
    <sheetView workbookViewId="0">
      <selection activeCell="D11" sqref="D11"/>
    </sheetView>
  </sheetViews>
  <sheetFormatPr defaultRowHeight="14.5" x14ac:dyDescent="0.35"/>
  <cols>
    <col min="1" max="1" width="15.08984375" customWidth="1"/>
    <col min="2" max="2" width="22.81640625" customWidth="1"/>
    <col min="3" max="3" width="17.1796875" customWidth="1"/>
    <col min="6" max="6" width="12.453125" customWidth="1"/>
  </cols>
  <sheetData>
    <row r="1" spans="1:8" x14ac:dyDescent="0.35">
      <c r="A1" t="s">
        <v>1</v>
      </c>
      <c r="B1" t="s">
        <v>399</v>
      </c>
      <c r="C1" t="s">
        <v>673</v>
      </c>
      <c r="D1" t="s">
        <v>674</v>
      </c>
      <c r="E1" t="s">
        <v>679</v>
      </c>
      <c r="F1" t="s">
        <v>680</v>
      </c>
      <c r="G1" t="s">
        <v>675</v>
      </c>
      <c r="H1" t="s">
        <v>676</v>
      </c>
    </row>
    <row r="2" spans="1:8" x14ac:dyDescent="0.35">
      <c r="A2" t="s">
        <v>400</v>
      </c>
      <c r="B2" t="s">
        <v>385</v>
      </c>
      <c r="D2">
        <v>2.2999999999999998</v>
      </c>
      <c r="E2">
        <v>160</v>
      </c>
      <c r="F2">
        <v>180</v>
      </c>
      <c r="G2">
        <f>F:F-E:E</f>
        <v>20</v>
      </c>
      <c r="H2">
        <v>0</v>
      </c>
    </row>
    <row r="3" spans="1:8" x14ac:dyDescent="0.35">
      <c r="A3" t="s">
        <v>405</v>
      </c>
      <c r="B3" t="s">
        <v>386</v>
      </c>
      <c r="C3" t="s">
        <v>678</v>
      </c>
      <c r="D3">
        <v>340.45</v>
      </c>
      <c r="E3">
        <v>700</v>
      </c>
      <c r="F3">
        <v>1000</v>
      </c>
      <c r="G3">
        <f t="shared" ref="G3:G66" si="0">F:F-E:E</f>
        <v>300</v>
      </c>
      <c r="H3">
        <v>0</v>
      </c>
    </row>
    <row r="4" spans="1:8" x14ac:dyDescent="0.35">
      <c r="A4" t="s">
        <v>402</v>
      </c>
      <c r="B4" t="s">
        <v>387</v>
      </c>
      <c r="C4" t="s">
        <v>677</v>
      </c>
      <c r="D4">
        <v>369</v>
      </c>
      <c r="E4">
        <v>500</v>
      </c>
      <c r="F4">
        <v>600</v>
      </c>
      <c r="G4">
        <f t="shared" si="0"/>
        <v>100</v>
      </c>
      <c r="H4">
        <v>0</v>
      </c>
    </row>
    <row r="5" spans="1:8" x14ac:dyDescent="0.35">
      <c r="A5" t="s">
        <v>408</v>
      </c>
      <c r="B5" t="s">
        <v>385</v>
      </c>
      <c r="D5">
        <v>2.2999999999999998</v>
      </c>
      <c r="E5">
        <v>160</v>
      </c>
      <c r="F5">
        <v>190</v>
      </c>
      <c r="G5">
        <f t="shared" si="0"/>
        <v>30</v>
      </c>
      <c r="H5">
        <v>0</v>
      </c>
    </row>
    <row r="6" spans="1:8" x14ac:dyDescent="0.35">
      <c r="A6" t="s">
        <v>403</v>
      </c>
      <c r="B6" t="s">
        <v>388</v>
      </c>
      <c r="D6">
        <v>45</v>
      </c>
      <c r="E6">
        <v>23</v>
      </c>
      <c r="F6">
        <v>24</v>
      </c>
      <c r="G6">
        <f t="shared" si="0"/>
        <v>1</v>
      </c>
      <c r="H6">
        <v>0</v>
      </c>
    </row>
    <row r="7" spans="1:8" x14ac:dyDescent="0.35">
      <c r="A7" t="s">
        <v>402</v>
      </c>
      <c r="B7" t="s">
        <v>389</v>
      </c>
      <c r="D7">
        <v>75</v>
      </c>
      <c r="E7">
        <v>543</v>
      </c>
      <c r="F7">
        <v>600</v>
      </c>
      <c r="G7">
        <f t="shared" si="0"/>
        <v>57</v>
      </c>
      <c r="H7">
        <v>0</v>
      </c>
    </row>
    <row r="8" spans="1:8" x14ac:dyDescent="0.35">
      <c r="A8" t="s">
        <v>407</v>
      </c>
      <c r="B8" t="s">
        <v>392</v>
      </c>
      <c r="D8">
        <v>2</v>
      </c>
      <c r="E8">
        <v>24</v>
      </c>
      <c r="F8">
        <v>24</v>
      </c>
      <c r="G8">
        <f t="shared" si="0"/>
        <v>0</v>
      </c>
      <c r="H8">
        <v>0</v>
      </c>
    </row>
    <row r="9" spans="1:8" x14ac:dyDescent="0.35">
      <c r="A9" t="s">
        <v>404</v>
      </c>
      <c r="B9" t="s">
        <v>390</v>
      </c>
      <c r="D9">
        <v>2</v>
      </c>
      <c r="E9">
        <v>234</v>
      </c>
      <c r="F9">
        <v>260</v>
      </c>
      <c r="G9">
        <f t="shared" si="0"/>
        <v>26</v>
      </c>
      <c r="H9">
        <v>0</v>
      </c>
    </row>
    <row r="10" spans="1:8" x14ac:dyDescent="0.35">
      <c r="A10" t="s">
        <v>405</v>
      </c>
      <c r="B10" t="s">
        <v>386</v>
      </c>
      <c r="C10" t="s">
        <v>678</v>
      </c>
      <c r="D10">
        <v>340</v>
      </c>
      <c r="E10">
        <v>533</v>
      </c>
      <c r="F10">
        <v>530</v>
      </c>
      <c r="G10">
        <v>0</v>
      </c>
      <c r="H10">
        <v>3</v>
      </c>
    </row>
    <row r="11" spans="1:8" x14ac:dyDescent="0.35">
      <c r="A11" t="s">
        <v>406</v>
      </c>
      <c r="B11" t="s">
        <v>386</v>
      </c>
      <c r="C11" t="s">
        <v>678</v>
      </c>
      <c r="D11">
        <v>348</v>
      </c>
      <c r="E11">
        <v>533</v>
      </c>
      <c r="F11">
        <v>530</v>
      </c>
      <c r="G11">
        <v>0</v>
      </c>
      <c r="H11">
        <v>3</v>
      </c>
    </row>
    <row r="12" spans="1:8" x14ac:dyDescent="0.35">
      <c r="A12" t="s">
        <v>402</v>
      </c>
      <c r="B12" t="s">
        <v>385</v>
      </c>
      <c r="D12">
        <v>2</v>
      </c>
      <c r="E12">
        <v>321</v>
      </c>
      <c r="F12">
        <v>330</v>
      </c>
      <c r="G12">
        <f t="shared" si="0"/>
        <v>9</v>
      </c>
      <c r="H12">
        <v>0</v>
      </c>
    </row>
    <row r="13" spans="1:8" x14ac:dyDescent="0.35">
      <c r="A13" t="s">
        <v>405</v>
      </c>
      <c r="B13" t="s">
        <v>385</v>
      </c>
      <c r="D13">
        <v>3</v>
      </c>
      <c r="E13">
        <v>134</v>
      </c>
      <c r="F13">
        <v>140</v>
      </c>
      <c r="G13">
        <f t="shared" si="0"/>
        <v>6</v>
      </c>
      <c r="H13">
        <v>0</v>
      </c>
    </row>
    <row r="14" spans="1:8" x14ac:dyDescent="0.35">
      <c r="A14" t="s">
        <v>407</v>
      </c>
      <c r="B14" t="s">
        <v>391</v>
      </c>
      <c r="D14">
        <v>1</v>
      </c>
      <c r="E14">
        <v>12</v>
      </c>
      <c r="F14">
        <v>12</v>
      </c>
      <c r="G14">
        <f t="shared" si="0"/>
        <v>0</v>
      </c>
      <c r="H14">
        <v>0</v>
      </c>
    </row>
    <row r="15" spans="1:8" x14ac:dyDescent="0.35">
      <c r="A15" t="s">
        <v>408</v>
      </c>
      <c r="B15" t="s">
        <v>388</v>
      </c>
      <c r="D15">
        <v>83</v>
      </c>
      <c r="E15">
        <v>123</v>
      </c>
      <c r="F15">
        <v>123</v>
      </c>
      <c r="G15">
        <f t="shared" si="0"/>
        <v>0</v>
      </c>
      <c r="H15">
        <v>0</v>
      </c>
    </row>
    <row r="16" spans="1:8" x14ac:dyDescent="0.35">
      <c r="A16" t="s">
        <v>400</v>
      </c>
      <c r="B16" t="s">
        <v>388</v>
      </c>
      <c r="D16">
        <v>70</v>
      </c>
      <c r="E16">
        <v>123</v>
      </c>
      <c r="F16">
        <v>123</v>
      </c>
      <c r="G16">
        <f t="shared" si="0"/>
        <v>0</v>
      </c>
      <c r="H16">
        <v>0</v>
      </c>
    </row>
    <row r="17" spans="1:8" x14ac:dyDescent="0.35">
      <c r="A17" t="s">
        <v>409</v>
      </c>
      <c r="B17" t="s">
        <v>387</v>
      </c>
      <c r="C17" t="s">
        <v>677</v>
      </c>
      <c r="D17">
        <v>340</v>
      </c>
      <c r="E17">
        <v>454</v>
      </c>
      <c r="F17">
        <v>455</v>
      </c>
      <c r="G17">
        <f t="shared" si="0"/>
        <v>1</v>
      </c>
      <c r="H17">
        <v>0</v>
      </c>
    </row>
    <row r="18" spans="1:8" x14ac:dyDescent="0.35">
      <c r="A18" t="s">
        <v>404</v>
      </c>
      <c r="B18" t="s">
        <v>391</v>
      </c>
      <c r="D18">
        <v>1</v>
      </c>
      <c r="E18">
        <v>21</v>
      </c>
      <c r="F18">
        <v>22</v>
      </c>
      <c r="G18">
        <f t="shared" si="0"/>
        <v>1</v>
      </c>
      <c r="H18">
        <v>0</v>
      </c>
    </row>
    <row r="19" spans="1:8" x14ac:dyDescent="0.35">
      <c r="A19" t="s">
        <v>408</v>
      </c>
      <c r="B19" t="s">
        <v>393</v>
      </c>
      <c r="D19">
        <v>0.01</v>
      </c>
      <c r="E19">
        <v>4</v>
      </c>
      <c r="F19">
        <v>5</v>
      </c>
      <c r="G19">
        <f t="shared" si="0"/>
        <v>1</v>
      </c>
      <c r="H19">
        <v>0</v>
      </c>
    </row>
    <row r="20" spans="1:8" x14ac:dyDescent="0.35">
      <c r="A20" t="s">
        <v>406</v>
      </c>
      <c r="B20" t="s">
        <v>393</v>
      </c>
      <c r="D20">
        <v>0.1</v>
      </c>
      <c r="E20">
        <v>3</v>
      </c>
      <c r="F20">
        <v>5</v>
      </c>
      <c r="G20">
        <f t="shared" si="0"/>
        <v>2</v>
      </c>
      <c r="H20">
        <v>0</v>
      </c>
    </row>
    <row r="21" spans="1:8" x14ac:dyDescent="0.35">
      <c r="A21" t="s">
        <v>402</v>
      </c>
      <c r="B21" t="s">
        <v>394</v>
      </c>
      <c r="D21">
        <v>20</v>
      </c>
      <c r="E21">
        <v>54</v>
      </c>
      <c r="F21">
        <v>55</v>
      </c>
      <c r="G21">
        <f t="shared" si="0"/>
        <v>1</v>
      </c>
      <c r="H21">
        <v>0</v>
      </c>
    </row>
    <row r="22" spans="1:8" x14ac:dyDescent="0.35">
      <c r="A22" t="s">
        <v>405</v>
      </c>
      <c r="B22" t="s">
        <v>394</v>
      </c>
      <c r="D22">
        <v>20</v>
      </c>
      <c r="E22">
        <v>54</v>
      </c>
      <c r="F22">
        <v>55</v>
      </c>
      <c r="G22">
        <f t="shared" si="0"/>
        <v>1</v>
      </c>
      <c r="H22">
        <v>0</v>
      </c>
    </row>
    <row r="23" spans="1:8" x14ac:dyDescent="0.35">
      <c r="A23" t="s">
        <v>407</v>
      </c>
      <c r="B23" t="s">
        <v>394</v>
      </c>
      <c r="D23">
        <v>20</v>
      </c>
      <c r="E23">
        <v>43</v>
      </c>
      <c r="F23">
        <v>45</v>
      </c>
      <c r="G23">
        <f t="shared" si="0"/>
        <v>2</v>
      </c>
      <c r="H23">
        <v>0</v>
      </c>
    </row>
    <row r="24" spans="1:8" x14ac:dyDescent="0.35">
      <c r="A24" t="s">
        <v>409</v>
      </c>
      <c r="B24" t="s">
        <v>386</v>
      </c>
      <c r="C24" t="s">
        <v>678</v>
      </c>
      <c r="D24">
        <v>234</v>
      </c>
      <c r="E24">
        <v>453</v>
      </c>
      <c r="F24">
        <v>455</v>
      </c>
      <c r="G24">
        <f t="shared" si="0"/>
        <v>2</v>
      </c>
      <c r="H24">
        <v>0</v>
      </c>
    </row>
    <row r="25" spans="1:8" x14ac:dyDescent="0.35">
      <c r="A25" t="s">
        <v>400</v>
      </c>
      <c r="B25" t="s">
        <v>394</v>
      </c>
      <c r="D25">
        <v>20</v>
      </c>
      <c r="E25">
        <v>32</v>
      </c>
      <c r="F25">
        <v>35</v>
      </c>
      <c r="G25">
        <f t="shared" si="0"/>
        <v>3</v>
      </c>
      <c r="H25">
        <v>0</v>
      </c>
    </row>
    <row r="26" spans="1:8" x14ac:dyDescent="0.35">
      <c r="A26" t="s">
        <v>406</v>
      </c>
      <c r="B26" t="s">
        <v>396</v>
      </c>
      <c r="D26">
        <v>12</v>
      </c>
      <c r="E26">
        <v>21</v>
      </c>
      <c r="F26">
        <v>30</v>
      </c>
      <c r="G26">
        <f t="shared" si="0"/>
        <v>9</v>
      </c>
      <c r="H26">
        <v>0</v>
      </c>
    </row>
    <row r="27" spans="1:8" x14ac:dyDescent="0.35">
      <c r="A27" t="s">
        <v>404</v>
      </c>
      <c r="B27" t="s">
        <v>385</v>
      </c>
      <c r="D27">
        <v>2</v>
      </c>
      <c r="E27">
        <v>160</v>
      </c>
      <c r="F27">
        <v>160</v>
      </c>
      <c r="G27">
        <f t="shared" si="0"/>
        <v>0</v>
      </c>
      <c r="H27">
        <v>0</v>
      </c>
    </row>
    <row r="28" spans="1:8" x14ac:dyDescent="0.35">
      <c r="A28" t="s">
        <v>409</v>
      </c>
      <c r="B28" t="s">
        <v>388</v>
      </c>
      <c r="D28">
        <v>70</v>
      </c>
      <c r="E28">
        <v>123</v>
      </c>
      <c r="F28">
        <v>130</v>
      </c>
      <c r="G28">
        <f t="shared" si="0"/>
        <v>7</v>
      </c>
      <c r="H28">
        <v>0</v>
      </c>
    </row>
    <row r="29" spans="1:8" x14ac:dyDescent="0.35">
      <c r="A29" t="s">
        <v>406</v>
      </c>
      <c r="B29" t="s">
        <v>385</v>
      </c>
      <c r="D29">
        <v>2</v>
      </c>
      <c r="E29">
        <v>123</v>
      </c>
      <c r="F29">
        <v>130</v>
      </c>
      <c r="G29">
        <f t="shared" si="0"/>
        <v>7</v>
      </c>
      <c r="H29">
        <v>0</v>
      </c>
    </row>
    <row r="30" spans="1:8" x14ac:dyDescent="0.35">
      <c r="A30" t="s">
        <v>409</v>
      </c>
      <c r="B30" t="s">
        <v>391</v>
      </c>
      <c r="D30">
        <v>1</v>
      </c>
      <c r="E30">
        <v>21</v>
      </c>
      <c r="F30">
        <v>33</v>
      </c>
      <c r="G30">
        <f t="shared" si="0"/>
        <v>12</v>
      </c>
      <c r="H30">
        <v>0</v>
      </c>
    </row>
    <row r="31" spans="1:8" x14ac:dyDescent="0.35">
      <c r="A31" t="s">
        <v>408</v>
      </c>
      <c r="B31" t="s">
        <v>385</v>
      </c>
      <c r="D31">
        <v>2</v>
      </c>
      <c r="E31">
        <v>123</v>
      </c>
      <c r="F31">
        <v>130</v>
      </c>
      <c r="G31">
        <f t="shared" si="0"/>
        <v>7</v>
      </c>
      <c r="H31">
        <v>0</v>
      </c>
    </row>
    <row r="32" spans="1:8" x14ac:dyDescent="0.35">
      <c r="A32" t="s">
        <v>407</v>
      </c>
      <c r="B32" t="s">
        <v>385</v>
      </c>
      <c r="D32">
        <v>2</v>
      </c>
      <c r="E32">
        <v>132</v>
      </c>
      <c r="F32">
        <v>130</v>
      </c>
      <c r="G32">
        <v>0</v>
      </c>
      <c r="H32">
        <v>2</v>
      </c>
    </row>
    <row r="33" spans="1:8" x14ac:dyDescent="0.35">
      <c r="A33" t="s">
        <v>409</v>
      </c>
      <c r="B33" t="s">
        <v>385</v>
      </c>
      <c r="D33">
        <v>2</v>
      </c>
      <c r="E33">
        <v>321</v>
      </c>
      <c r="F33">
        <v>400</v>
      </c>
      <c r="G33">
        <f t="shared" si="0"/>
        <v>79</v>
      </c>
      <c r="H33">
        <v>0</v>
      </c>
    </row>
    <row r="34" spans="1:8" x14ac:dyDescent="0.35">
      <c r="A34" t="s">
        <v>405</v>
      </c>
      <c r="B34" t="s">
        <v>385</v>
      </c>
      <c r="D34">
        <v>2</v>
      </c>
      <c r="E34">
        <v>432</v>
      </c>
      <c r="F34">
        <v>500</v>
      </c>
      <c r="G34">
        <f t="shared" si="0"/>
        <v>68</v>
      </c>
      <c r="H34">
        <v>0</v>
      </c>
    </row>
    <row r="35" spans="1:8" x14ac:dyDescent="0.35">
      <c r="A35" t="s">
        <v>409</v>
      </c>
      <c r="B35" t="s">
        <v>396</v>
      </c>
      <c r="D35">
        <v>12</v>
      </c>
      <c r="E35">
        <v>21</v>
      </c>
      <c r="F35">
        <v>30</v>
      </c>
      <c r="G35">
        <f t="shared" si="0"/>
        <v>9</v>
      </c>
      <c r="H35">
        <v>0</v>
      </c>
    </row>
    <row r="36" spans="1:8" x14ac:dyDescent="0.35">
      <c r="A36" t="s">
        <v>400</v>
      </c>
      <c r="B36" t="s">
        <v>386</v>
      </c>
      <c r="C36" t="s">
        <v>678</v>
      </c>
      <c r="D36">
        <v>340</v>
      </c>
      <c r="E36">
        <v>432</v>
      </c>
      <c r="F36">
        <v>500</v>
      </c>
      <c r="G36">
        <f t="shared" si="0"/>
        <v>68</v>
      </c>
      <c r="H36">
        <v>0</v>
      </c>
    </row>
    <row r="37" spans="1:8" x14ac:dyDescent="0.35">
      <c r="A37" t="s">
        <v>402</v>
      </c>
      <c r="B37" t="s">
        <v>388</v>
      </c>
      <c r="D37">
        <v>70</v>
      </c>
      <c r="E37">
        <v>321</v>
      </c>
      <c r="F37">
        <v>500</v>
      </c>
      <c r="G37">
        <f t="shared" si="0"/>
        <v>179</v>
      </c>
      <c r="H37">
        <v>0</v>
      </c>
    </row>
    <row r="38" spans="1:8" x14ac:dyDescent="0.35">
      <c r="A38" t="s">
        <v>406</v>
      </c>
      <c r="B38" t="s">
        <v>396</v>
      </c>
      <c r="D38">
        <v>12</v>
      </c>
      <c r="E38">
        <v>21</v>
      </c>
      <c r="F38">
        <v>15</v>
      </c>
      <c r="G38">
        <v>0</v>
      </c>
      <c r="H38">
        <v>6</v>
      </c>
    </row>
    <row r="39" spans="1:8" x14ac:dyDescent="0.35">
      <c r="A39" t="s">
        <v>404</v>
      </c>
      <c r="B39" t="s">
        <v>394</v>
      </c>
      <c r="D39">
        <v>23</v>
      </c>
      <c r="E39">
        <v>21</v>
      </c>
      <c r="F39">
        <v>15</v>
      </c>
      <c r="G39">
        <v>0</v>
      </c>
      <c r="H39">
        <v>6</v>
      </c>
    </row>
    <row r="40" spans="1:8" x14ac:dyDescent="0.35">
      <c r="A40" t="s">
        <v>409</v>
      </c>
      <c r="B40" t="s">
        <v>396</v>
      </c>
      <c r="D40">
        <v>12</v>
      </c>
      <c r="E40">
        <v>12</v>
      </c>
      <c r="F40">
        <v>15</v>
      </c>
      <c r="G40">
        <f t="shared" si="0"/>
        <v>3</v>
      </c>
      <c r="H40">
        <v>0</v>
      </c>
    </row>
    <row r="41" spans="1:8" x14ac:dyDescent="0.35">
      <c r="A41" t="s">
        <v>410</v>
      </c>
      <c r="B41" t="s">
        <v>385</v>
      </c>
      <c r="D41">
        <v>2</v>
      </c>
      <c r="E41">
        <v>321</v>
      </c>
      <c r="F41">
        <v>333</v>
      </c>
      <c r="G41">
        <f t="shared" si="0"/>
        <v>12</v>
      </c>
      <c r="H41">
        <v>0</v>
      </c>
    </row>
    <row r="42" spans="1:8" x14ac:dyDescent="0.35">
      <c r="A42" t="s">
        <v>411</v>
      </c>
      <c r="B42" t="s">
        <v>391</v>
      </c>
      <c r="D42">
        <v>1</v>
      </c>
      <c r="E42">
        <v>12</v>
      </c>
      <c r="F42">
        <v>15</v>
      </c>
      <c r="G42">
        <f t="shared" si="0"/>
        <v>3</v>
      </c>
      <c r="H42">
        <v>0</v>
      </c>
    </row>
    <row r="43" spans="1:8" x14ac:dyDescent="0.35">
      <c r="A43" t="s">
        <v>405</v>
      </c>
      <c r="B43" t="s">
        <v>385</v>
      </c>
      <c r="D43">
        <v>2</v>
      </c>
      <c r="E43">
        <v>321</v>
      </c>
      <c r="F43">
        <v>333</v>
      </c>
      <c r="G43">
        <f t="shared" si="0"/>
        <v>12</v>
      </c>
      <c r="H43">
        <v>0</v>
      </c>
    </row>
    <row r="44" spans="1:8" x14ac:dyDescent="0.35">
      <c r="A44" t="s">
        <v>408</v>
      </c>
      <c r="B44" t="s">
        <v>385</v>
      </c>
      <c r="D44">
        <v>2</v>
      </c>
      <c r="E44">
        <v>231</v>
      </c>
      <c r="F44">
        <v>354</v>
      </c>
      <c r="G44">
        <f t="shared" si="0"/>
        <v>123</v>
      </c>
      <c r="H44">
        <v>0</v>
      </c>
    </row>
    <row r="45" spans="1:8" x14ac:dyDescent="0.35">
      <c r="A45" t="s">
        <v>407</v>
      </c>
      <c r="B45" t="s">
        <v>397</v>
      </c>
      <c r="C45" t="s">
        <v>677</v>
      </c>
      <c r="D45">
        <v>340</v>
      </c>
      <c r="E45">
        <v>4321</v>
      </c>
      <c r="F45">
        <v>4500</v>
      </c>
      <c r="G45">
        <f t="shared" si="0"/>
        <v>179</v>
      </c>
      <c r="H45">
        <v>0</v>
      </c>
    </row>
    <row r="46" spans="1:8" x14ac:dyDescent="0.35">
      <c r="A46" t="s">
        <v>402</v>
      </c>
      <c r="B46" t="s">
        <v>397</v>
      </c>
      <c r="C46" t="s">
        <v>677</v>
      </c>
      <c r="D46">
        <v>500</v>
      </c>
      <c r="E46">
        <v>4321</v>
      </c>
      <c r="F46">
        <v>4500</v>
      </c>
      <c r="G46">
        <f t="shared" si="0"/>
        <v>179</v>
      </c>
      <c r="H46">
        <v>0</v>
      </c>
    </row>
    <row r="47" spans="1:8" x14ac:dyDescent="0.35">
      <c r="A47" t="s">
        <v>406</v>
      </c>
      <c r="B47" t="s">
        <v>397</v>
      </c>
      <c r="C47" t="s">
        <v>678</v>
      </c>
      <c r="D47">
        <v>590</v>
      </c>
      <c r="E47">
        <v>4321</v>
      </c>
      <c r="F47">
        <v>4500</v>
      </c>
      <c r="G47">
        <f t="shared" si="0"/>
        <v>179</v>
      </c>
      <c r="H47">
        <v>0</v>
      </c>
    </row>
    <row r="48" spans="1:8" x14ac:dyDescent="0.35">
      <c r="A48" t="s">
        <v>404</v>
      </c>
      <c r="B48" t="s">
        <v>388</v>
      </c>
      <c r="D48">
        <v>70</v>
      </c>
      <c r="E48">
        <v>231</v>
      </c>
      <c r="F48">
        <v>355</v>
      </c>
      <c r="G48">
        <f t="shared" si="0"/>
        <v>124</v>
      </c>
      <c r="H48">
        <v>0</v>
      </c>
    </row>
    <row r="49" spans="1:8" x14ac:dyDescent="0.35">
      <c r="A49" t="s">
        <v>409</v>
      </c>
      <c r="B49" t="s">
        <v>386</v>
      </c>
      <c r="C49" t="s">
        <v>678</v>
      </c>
      <c r="D49">
        <v>340</v>
      </c>
      <c r="E49">
        <v>432</v>
      </c>
      <c r="F49">
        <v>455</v>
      </c>
      <c r="G49">
        <f t="shared" si="0"/>
        <v>23</v>
      </c>
      <c r="H49">
        <v>0</v>
      </c>
    </row>
    <row r="50" spans="1:8" x14ac:dyDescent="0.35">
      <c r="A50" t="s">
        <v>406</v>
      </c>
      <c r="B50" t="s">
        <v>396</v>
      </c>
      <c r="D50">
        <v>12</v>
      </c>
      <c r="E50">
        <v>21</v>
      </c>
      <c r="F50">
        <v>25</v>
      </c>
      <c r="G50">
        <f t="shared" si="0"/>
        <v>4</v>
      </c>
      <c r="H50">
        <v>0</v>
      </c>
    </row>
    <row r="51" spans="1:8" x14ac:dyDescent="0.35">
      <c r="A51" t="s">
        <v>410</v>
      </c>
      <c r="B51" t="s">
        <v>397</v>
      </c>
      <c r="C51" t="s">
        <v>678</v>
      </c>
      <c r="D51">
        <v>340</v>
      </c>
      <c r="E51">
        <v>4321</v>
      </c>
      <c r="F51">
        <v>4500</v>
      </c>
      <c r="G51">
        <f t="shared" si="0"/>
        <v>179</v>
      </c>
      <c r="H51">
        <v>0</v>
      </c>
    </row>
    <row r="52" spans="1:8" x14ac:dyDescent="0.35">
      <c r="A52" t="s">
        <v>407</v>
      </c>
      <c r="B52" t="s">
        <v>394</v>
      </c>
      <c r="D52">
        <v>30</v>
      </c>
      <c r="E52">
        <v>21</v>
      </c>
      <c r="F52">
        <v>25</v>
      </c>
      <c r="G52">
        <f t="shared" si="0"/>
        <v>4</v>
      </c>
      <c r="H52">
        <v>0</v>
      </c>
    </row>
    <row r="53" spans="1:8" x14ac:dyDescent="0.35">
      <c r="A53" t="s">
        <v>411</v>
      </c>
      <c r="B53" t="s">
        <v>396</v>
      </c>
      <c r="D53">
        <v>12</v>
      </c>
      <c r="E53">
        <v>12</v>
      </c>
      <c r="F53">
        <v>25</v>
      </c>
      <c r="G53">
        <f t="shared" si="0"/>
        <v>13</v>
      </c>
      <c r="H53">
        <v>0</v>
      </c>
    </row>
    <row r="54" spans="1:8" x14ac:dyDescent="0.35">
      <c r="A54" t="s">
        <v>402</v>
      </c>
      <c r="B54" t="s">
        <v>385</v>
      </c>
      <c r="D54">
        <v>2</v>
      </c>
      <c r="E54">
        <v>321</v>
      </c>
      <c r="F54">
        <v>355</v>
      </c>
      <c r="G54">
        <f t="shared" si="0"/>
        <v>34</v>
      </c>
      <c r="H54">
        <v>0</v>
      </c>
    </row>
    <row r="55" spans="1:8" x14ac:dyDescent="0.35">
      <c r="A55" t="s">
        <v>405</v>
      </c>
      <c r="B55" t="s">
        <v>385</v>
      </c>
      <c r="D55">
        <v>2</v>
      </c>
      <c r="E55">
        <v>231</v>
      </c>
      <c r="F55">
        <v>300</v>
      </c>
      <c r="G55">
        <f t="shared" si="0"/>
        <v>69</v>
      </c>
      <c r="H55">
        <v>0</v>
      </c>
    </row>
    <row r="56" spans="1:8" x14ac:dyDescent="0.35">
      <c r="A56" t="s">
        <v>408</v>
      </c>
      <c r="B56" t="s">
        <v>390</v>
      </c>
      <c r="D56">
        <v>2</v>
      </c>
      <c r="E56">
        <v>231</v>
      </c>
      <c r="F56">
        <v>300</v>
      </c>
      <c r="G56">
        <f t="shared" si="0"/>
        <v>69</v>
      </c>
      <c r="H56">
        <v>0</v>
      </c>
    </row>
    <row r="57" spans="1:8" x14ac:dyDescent="0.35">
      <c r="A57" t="s">
        <v>400</v>
      </c>
      <c r="B57" t="s">
        <v>388</v>
      </c>
      <c r="D57">
        <v>70</v>
      </c>
      <c r="E57">
        <v>321</v>
      </c>
      <c r="F57">
        <v>300</v>
      </c>
      <c r="G57">
        <v>0</v>
      </c>
      <c r="H57">
        <v>21</v>
      </c>
    </row>
    <row r="58" spans="1:8" x14ac:dyDescent="0.35">
      <c r="A58" t="s">
        <v>407</v>
      </c>
      <c r="B58" t="s">
        <v>386</v>
      </c>
      <c r="C58" t="s">
        <v>677</v>
      </c>
      <c r="D58">
        <v>340</v>
      </c>
      <c r="E58">
        <v>432</v>
      </c>
      <c r="F58">
        <v>500</v>
      </c>
      <c r="G58">
        <f t="shared" si="0"/>
        <v>68</v>
      </c>
      <c r="H58">
        <v>0</v>
      </c>
    </row>
    <row r="59" spans="1:8" x14ac:dyDescent="0.35">
      <c r="A59" t="s">
        <v>406</v>
      </c>
      <c r="B59" t="s">
        <v>386</v>
      </c>
      <c r="C59" t="s">
        <v>677</v>
      </c>
      <c r="D59">
        <v>340</v>
      </c>
      <c r="E59">
        <v>432</v>
      </c>
      <c r="F59">
        <v>500</v>
      </c>
      <c r="G59">
        <f t="shared" si="0"/>
        <v>68</v>
      </c>
      <c r="H59">
        <v>0</v>
      </c>
    </row>
    <row r="60" spans="1:8" x14ac:dyDescent="0.35">
      <c r="A60" t="s">
        <v>404</v>
      </c>
      <c r="B60" t="s">
        <v>391</v>
      </c>
      <c r="D60">
        <v>1</v>
      </c>
      <c r="E60">
        <v>21</v>
      </c>
      <c r="F60">
        <v>25</v>
      </c>
      <c r="G60">
        <f t="shared" si="0"/>
        <v>4</v>
      </c>
      <c r="H60">
        <v>0</v>
      </c>
    </row>
    <row r="61" spans="1:8" x14ac:dyDescent="0.35">
      <c r="A61" t="s">
        <v>410</v>
      </c>
      <c r="B61" t="s">
        <v>386</v>
      </c>
      <c r="C61" t="s">
        <v>678</v>
      </c>
      <c r="D61">
        <v>340</v>
      </c>
      <c r="E61">
        <v>432</v>
      </c>
      <c r="F61">
        <v>500</v>
      </c>
      <c r="G61">
        <f t="shared" si="0"/>
        <v>68</v>
      </c>
      <c r="H61">
        <v>0</v>
      </c>
    </row>
    <row r="62" spans="1:8" x14ac:dyDescent="0.35">
      <c r="A62" t="s">
        <v>409</v>
      </c>
      <c r="B62" t="s">
        <v>395</v>
      </c>
      <c r="D62">
        <v>21</v>
      </c>
      <c r="E62">
        <v>545</v>
      </c>
      <c r="F62">
        <v>600</v>
      </c>
      <c r="G62">
        <f t="shared" si="0"/>
        <v>55</v>
      </c>
      <c r="H62">
        <v>0</v>
      </c>
    </row>
    <row r="63" spans="1:8" x14ac:dyDescent="0.35">
      <c r="A63" t="s">
        <v>407</v>
      </c>
      <c r="B63" t="s">
        <v>397</v>
      </c>
      <c r="C63" t="s">
        <v>678</v>
      </c>
      <c r="D63">
        <v>500</v>
      </c>
      <c r="E63">
        <v>5432</v>
      </c>
      <c r="F63">
        <v>5500</v>
      </c>
      <c r="G63">
        <f t="shared" si="0"/>
        <v>68</v>
      </c>
      <c r="H63">
        <v>0</v>
      </c>
    </row>
    <row r="64" spans="1:8" x14ac:dyDescent="0.35">
      <c r="A64" t="s">
        <v>402</v>
      </c>
      <c r="B64" t="s">
        <v>385</v>
      </c>
      <c r="D64">
        <v>2</v>
      </c>
      <c r="E64">
        <v>321</v>
      </c>
      <c r="F64">
        <v>400</v>
      </c>
      <c r="G64">
        <f t="shared" si="0"/>
        <v>79</v>
      </c>
      <c r="H64">
        <v>0</v>
      </c>
    </row>
    <row r="65" spans="1:8" x14ac:dyDescent="0.35">
      <c r="A65" t="s">
        <v>405</v>
      </c>
      <c r="B65" t="s">
        <v>385</v>
      </c>
      <c r="D65">
        <v>2</v>
      </c>
      <c r="E65">
        <v>231</v>
      </c>
      <c r="F65">
        <v>400</v>
      </c>
      <c r="G65">
        <f t="shared" si="0"/>
        <v>169</v>
      </c>
      <c r="H65">
        <v>0</v>
      </c>
    </row>
    <row r="66" spans="1:8" x14ac:dyDescent="0.35">
      <c r="A66" t="s">
        <v>400</v>
      </c>
      <c r="B66" t="s">
        <v>396</v>
      </c>
      <c r="D66">
        <v>12</v>
      </c>
      <c r="E66">
        <v>21</v>
      </c>
      <c r="F66">
        <v>25</v>
      </c>
      <c r="G66">
        <f t="shared" si="0"/>
        <v>4</v>
      </c>
      <c r="H66">
        <v>0</v>
      </c>
    </row>
    <row r="67" spans="1:8" x14ac:dyDescent="0.35">
      <c r="A67" t="s">
        <v>408</v>
      </c>
      <c r="B67" t="s">
        <v>394</v>
      </c>
      <c r="D67">
        <v>32</v>
      </c>
      <c r="E67">
        <v>23</v>
      </c>
      <c r="F67">
        <v>25</v>
      </c>
      <c r="G67">
        <f t="shared" ref="G67:G130" si="1">F:F-E:E</f>
        <v>2</v>
      </c>
      <c r="H67">
        <v>0</v>
      </c>
    </row>
    <row r="68" spans="1:8" x14ac:dyDescent="0.35">
      <c r="A68" t="s">
        <v>406</v>
      </c>
      <c r="B68" t="s">
        <v>395</v>
      </c>
      <c r="D68">
        <v>21</v>
      </c>
      <c r="E68">
        <v>555</v>
      </c>
      <c r="F68">
        <v>600</v>
      </c>
      <c r="G68">
        <f t="shared" si="1"/>
        <v>45</v>
      </c>
      <c r="H68">
        <v>0</v>
      </c>
    </row>
    <row r="69" spans="1:8" x14ac:dyDescent="0.35">
      <c r="A69" t="s">
        <v>407</v>
      </c>
      <c r="B69" t="s">
        <v>388</v>
      </c>
      <c r="D69">
        <v>70</v>
      </c>
      <c r="E69">
        <v>444</v>
      </c>
      <c r="F69">
        <v>600</v>
      </c>
      <c r="G69">
        <f t="shared" si="1"/>
        <v>156</v>
      </c>
      <c r="H69">
        <v>0</v>
      </c>
    </row>
    <row r="70" spans="1:8" x14ac:dyDescent="0.35">
      <c r="A70" t="s">
        <v>410</v>
      </c>
      <c r="B70" t="s">
        <v>385</v>
      </c>
      <c r="D70">
        <v>2</v>
      </c>
      <c r="E70">
        <v>432</v>
      </c>
      <c r="F70">
        <v>455</v>
      </c>
      <c r="G70">
        <f t="shared" si="1"/>
        <v>23</v>
      </c>
      <c r="H70">
        <v>0</v>
      </c>
    </row>
    <row r="71" spans="1:8" x14ac:dyDescent="0.35">
      <c r="A71" t="s">
        <v>406</v>
      </c>
      <c r="B71" t="s">
        <v>385</v>
      </c>
      <c r="D71">
        <v>2</v>
      </c>
      <c r="E71">
        <v>231</v>
      </c>
      <c r="F71">
        <v>255</v>
      </c>
      <c r="G71">
        <f t="shared" si="1"/>
        <v>24</v>
      </c>
      <c r="H71">
        <v>0</v>
      </c>
    </row>
    <row r="72" spans="1:8" x14ac:dyDescent="0.35">
      <c r="A72" t="s">
        <v>404</v>
      </c>
      <c r="B72" t="s">
        <v>386</v>
      </c>
      <c r="C72" t="s">
        <v>678</v>
      </c>
      <c r="D72">
        <v>340</v>
      </c>
      <c r="E72">
        <v>432</v>
      </c>
      <c r="F72">
        <v>455</v>
      </c>
      <c r="G72">
        <f t="shared" si="1"/>
        <v>23</v>
      </c>
      <c r="H72">
        <v>0</v>
      </c>
    </row>
    <row r="73" spans="1:8" x14ac:dyDescent="0.35">
      <c r="A73" t="s">
        <v>402</v>
      </c>
      <c r="B73" t="s">
        <v>386</v>
      </c>
      <c r="C73" t="s">
        <v>677</v>
      </c>
      <c r="D73">
        <v>340</v>
      </c>
      <c r="E73">
        <v>432</v>
      </c>
      <c r="F73">
        <v>455</v>
      </c>
      <c r="G73">
        <f t="shared" si="1"/>
        <v>23</v>
      </c>
      <c r="H73">
        <v>0</v>
      </c>
    </row>
    <row r="74" spans="1:8" x14ac:dyDescent="0.35">
      <c r="A74" t="s">
        <v>408</v>
      </c>
      <c r="B74" t="s">
        <v>386</v>
      </c>
      <c r="C74" t="s">
        <v>677</v>
      </c>
      <c r="D74">
        <v>340</v>
      </c>
      <c r="E74">
        <v>543</v>
      </c>
      <c r="F74">
        <v>655</v>
      </c>
      <c r="G74">
        <f t="shared" si="1"/>
        <v>112</v>
      </c>
      <c r="H74">
        <v>0</v>
      </c>
    </row>
    <row r="75" spans="1:8" x14ac:dyDescent="0.35">
      <c r="A75" t="s">
        <v>411</v>
      </c>
      <c r="B75" t="s">
        <v>397</v>
      </c>
      <c r="C75" t="s">
        <v>678</v>
      </c>
      <c r="D75">
        <v>500</v>
      </c>
      <c r="E75">
        <v>5432</v>
      </c>
      <c r="F75">
        <v>5555</v>
      </c>
      <c r="G75">
        <f t="shared" si="1"/>
        <v>123</v>
      </c>
      <c r="H75">
        <v>0</v>
      </c>
    </row>
    <row r="76" spans="1:8" x14ac:dyDescent="0.35">
      <c r="A76" t="s">
        <v>412</v>
      </c>
      <c r="B76" t="s">
        <v>385</v>
      </c>
      <c r="D76">
        <v>2</v>
      </c>
      <c r="E76">
        <v>231</v>
      </c>
      <c r="F76">
        <v>255</v>
      </c>
      <c r="G76">
        <f t="shared" si="1"/>
        <v>24</v>
      </c>
      <c r="H76">
        <v>0</v>
      </c>
    </row>
    <row r="77" spans="1:8" x14ac:dyDescent="0.35">
      <c r="A77" t="s">
        <v>409</v>
      </c>
      <c r="B77" t="s">
        <v>391</v>
      </c>
      <c r="D77">
        <v>1</v>
      </c>
      <c r="E77">
        <v>21</v>
      </c>
      <c r="F77">
        <v>25</v>
      </c>
      <c r="G77">
        <f t="shared" si="1"/>
        <v>4</v>
      </c>
      <c r="H77">
        <v>0</v>
      </c>
    </row>
    <row r="78" spans="1:8" x14ac:dyDescent="0.35">
      <c r="A78" t="s">
        <v>407</v>
      </c>
      <c r="B78" t="s">
        <v>391</v>
      </c>
      <c r="D78">
        <v>1</v>
      </c>
      <c r="E78">
        <v>24</v>
      </c>
      <c r="F78">
        <v>25</v>
      </c>
      <c r="G78">
        <f t="shared" si="1"/>
        <v>1</v>
      </c>
      <c r="H78">
        <v>0</v>
      </c>
    </row>
    <row r="79" spans="1:8" x14ac:dyDescent="0.35">
      <c r="A79" t="s">
        <v>400</v>
      </c>
      <c r="B79" t="s">
        <v>391</v>
      </c>
      <c r="D79">
        <v>1</v>
      </c>
      <c r="E79">
        <v>24</v>
      </c>
      <c r="F79">
        <v>25</v>
      </c>
      <c r="G79">
        <f t="shared" si="1"/>
        <v>1</v>
      </c>
      <c r="H79">
        <v>0</v>
      </c>
    </row>
    <row r="80" spans="1:8" x14ac:dyDescent="0.35">
      <c r="A80" t="s">
        <v>405</v>
      </c>
      <c r="B80" t="s">
        <v>391</v>
      </c>
      <c r="D80">
        <v>1</v>
      </c>
      <c r="E80">
        <v>32</v>
      </c>
      <c r="F80">
        <v>35</v>
      </c>
      <c r="G80">
        <f t="shared" si="1"/>
        <v>3</v>
      </c>
      <c r="H80">
        <v>0</v>
      </c>
    </row>
    <row r="81" spans="1:8" x14ac:dyDescent="0.35">
      <c r="A81" t="s">
        <v>406</v>
      </c>
      <c r="B81" t="s">
        <v>385</v>
      </c>
      <c r="D81">
        <v>2</v>
      </c>
      <c r="E81">
        <v>234</v>
      </c>
      <c r="F81">
        <v>300</v>
      </c>
      <c r="G81">
        <f t="shared" si="1"/>
        <v>66</v>
      </c>
      <c r="H81">
        <v>0</v>
      </c>
    </row>
    <row r="82" spans="1:8" x14ac:dyDescent="0.35">
      <c r="A82" t="s">
        <v>408</v>
      </c>
      <c r="B82" t="s">
        <v>386</v>
      </c>
      <c r="C82" t="s">
        <v>677</v>
      </c>
      <c r="D82">
        <v>340</v>
      </c>
      <c r="E82">
        <v>432</v>
      </c>
      <c r="F82">
        <v>500</v>
      </c>
      <c r="G82">
        <f t="shared" si="1"/>
        <v>68</v>
      </c>
      <c r="H82">
        <v>0</v>
      </c>
    </row>
    <row r="83" spans="1:8" x14ac:dyDescent="0.35">
      <c r="A83" t="s">
        <v>411</v>
      </c>
      <c r="B83" t="s">
        <v>386</v>
      </c>
      <c r="C83" t="s">
        <v>678</v>
      </c>
      <c r="D83">
        <v>340</v>
      </c>
      <c r="E83">
        <v>543</v>
      </c>
      <c r="F83">
        <v>600</v>
      </c>
      <c r="G83">
        <f t="shared" si="1"/>
        <v>57</v>
      </c>
      <c r="H83">
        <v>0</v>
      </c>
    </row>
    <row r="84" spans="1:8" x14ac:dyDescent="0.35">
      <c r="A84" t="s">
        <v>404</v>
      </c>
      <c r="B84" t="s">
        <v>397</v>
      </c>
      <c r="C84" t="s">
        <v>678</v>
      </c>
      <c r="D84">
        <v>500</v>
      </c>
      <c r="E84">
        <v>5432</v>
      </c>
      <c r="F84">
        <v>5555</v>
      </c>
      <c r="G84">
        <f t="shared" si="1"/>
        <v>123</v>
      </c>
      <c r="H84">
        <v>0</v>
      </c>
    </row>
    <row r="85" spans="1:8" x14ac:dyDescent="0.35">
      <c r="A85" t="s">
        <v>410</v>
      </c>
      <c r="B85" t="s">
        <v>395</v>
      </c>
      <c r="D85">
        <v>32</v>
      </c>
      <c r="E85">
        <v>555</v>
      </c>
      <c r="F85">
        <v>600</v>
      </c>
      <c r="G85">
        <f t="shared" si="1"/>
        <v>45</v>
      </c>
      <c r="H85">
        <v>0</v>
      </c>
    </row>
    <row r="86" spans="1:8" x14ac:dyDescent="0.35">
      <c r="A86" t="s">
        <v>409</v>
      </c>
      <c r="B86" t="s">
        <v>386</v>
      </c>
      <c r="C86" t="s">
        <v>678</v>
      </c>
      <c r="D86">
        <v>340</v>
      </c>
      <c r="E86">
        <v>435</v>
      </c>
      <c r="F86">
        <v>555</v>
      </c>
      <c r="G86">
        <f t="shared" si="1"/>
        <v>120</v>
      </c>
      <c r="H86">
        <v>0</v>
      </c>
    </row>
    <row r="87" spans="1:8" x14ac:dyDescent="0.35">
      <c r="A87" t="s">
        <v>407</v>
      </c>
      <c r="B87" t="s">
        <v>386</v>
      </c>
      <c r="C87" t="s">
        <v>678</v>
      </c>
      <c r="D87">
        <v>340</v>
      </c>
      <c r="E87">
        <v>543</v>
      </c>
      <c r="F87">
        <v>600</v>
      </c>
      <c r="G87">
        <f t="shared" si="1"/>
        <v>57</v>
      </c>
      <c r="H87">
        <v>0</v>
      </c>
    </row>
    <row r="88" spans="1:8" x14ac:dyDescent="0.35">
      <c r="A88" t="s">
        <v>411</v>
      </c>
      <c r="B88" t="s">
        <v>391</v>
      </c>
      <c r="D88">
        <v>1</v>
      </c>
      <c r="E88">
        <v>21</v>
      </c>
      <c r="F88">
        <v>25</v>
      </c>
      <c r="G88">
        <f t="shared" si="1"/>
        <v>4</v>
      </c>
      <c r="H88">
        <v>0</v>
      </c>
    </row>
    <row r="89" spans="1:8" x14ac:dyDescent="0.35">
      <c r="A89" t="s">
        <v>405</v>
      </c>
      <c r="B89" t="s">
        <v>394</v>
      </c>
      <c r="D89">
        <v>32</v>
      </c>
      <c r="E89">
        <v>43</v>
      </c>
      <c r="F89">
        <v>55</v>
      </c>
      <c r="G89">
        <f t="shared" si="1"/>
        <v>12</v>
      </c>
      <c r="H89">
        <v>0</v>
      </c>
    </row>
    <row r="90" spans="1:8" x14ac:dyDescent="0.35">
      <c r="A90" t="s">
        <v>408</v>
      </c>
      <c r="B90" t="s">
        <v>388</v>
      </c>
      <c r="D90">
        <v>70</v>
      </c>
      <c r="E90">
        <v>342</v>
      </c>
      <c r="F90">
        <v>450</v>
      </c>
      <c r="G90">
        <f t="shared" si="1"/>
        <v>108</v>
      </c>
      <c r="H90">
        <v>0</v>
      </c>
    </row>
    <row r="91" spans="1:8" x14ac:dyDescent="0.35">
      <c r="A91" t="s">
        <v>402</v>
      </c>
      <c r="B91" t="s">
        <v>396</v>
      </c>
      <c r="D91">
        <v>12</v>
      </c>
      <c r="E91">
        <v>21</v>
      </c>
      <c r="F91">
        <v>25</v>
      </c>
      <c r="G91">
        <f t="shared" si="1"/>
        <v>4</v>
      </c>
      <c r="H91">
        <v>0</v>
      </c>
    </row>
    <row r="92" spans="1:8" x14ac:dyDescent="0.35">
      <c r="A92" t="s">
        <v>410</v>
      </c>
      <c r="B92" t="s">
        <v>386</v>
      </c>
      <c r="C92" t="s">
        <v>678</v>
      </c>
      <c r="D92">
        <v>340</v>
      </c>
      <c r="E92">
        <v>432</v>
      </c>
      <c r="F92">
        <v>500</v>
      </c>
      <c r="G92">
        <f t="shared" si="1"/>
        <v>68</v>
      </c>
      <c r="H92">
        <v>0</v>
      </c>
    </row>
    <row r="93" spans="1:8" x14ac:dyDescent="0.35">
      <c r="A93" t="s">
        <v>404</v>
      </c>
      <c r="B93" t="s">
        <v>385</v>
      </c>
      <c r="D93">
        <v>2</v>
      </c>
      <c r="E93">
        <v>231</v>
      </c>
      <c r="F93">
        <v>250</v>
      </c>
      <c r="G93">
        <f t="shared" si="1"/>
        <v>19</v>
      </c>
      <c r="H93">
        <v>0</v>
      </c>
    </row>
    <row r="94" spans="1:8" x14ac:dyDescent="0.35">
      <c r="A94" t="s">
        <v>400</v>
      </c>
      <c r="B94" t="s">
        <v>397</v>
      </c>
      <c r="C94" t="s">
        <v>677</v>
      </c>
      <c r="D94">
        <v>500</v>
      </c>
      <c r="E94">
        <v>5432</v>
      </c>
      <c r="F94">
        <v>5555</v>
      </c>
      <c r="G94">
        <f t="shared" si="1"/>
        <v>123</v>
      </c>
      <c r="H94">
        <v>0</v>
      </c>
    </row>
    <row r="95" spans="1:8" x14ac:dyDescent="0.35">
      <c r="A95" t="s">
        <v>407</v>
      </c>
      <c r="B95" t="s">
        <v>386</v>
      </c>
      <c r="C95" t="s">
        <v>678</v>
      </c>
      <c r="D95">
        <v>349</v>
      </c>
      <c r="E95">
        <v>435</v>
      </c>
      <c r="F95">
        <v>555</v>
      </c>
      <c r="G95">
        <f t="shared" si="1"/>
        <v>120</v>
      </c>
      <c r="H95">
        <v>0</v>
      </c>
    </row>
    <row r="96" spans="1:8" x14ac:dyDescent="0.35">
      <c r="A96" t="s">
        <v>404</v>
      </c>
      <c r="B96" t="s">
        <v>396</v>
      </c>
      <c r="D96">
        <v>12</v>
      </c>
      <c r="E96">
        <v>21</v>
      </c>
      <c r="F96">
        <v>25</v>
      </c>
      <c r="G96">
        <f t="shared" si="1"/>
        <v>4</v>
      </c>
      <c r="H96">
        <v>0</v>
      </c>
    </row>
    <row r="97" spans="1:8" x14ac:dyDescent="0.35">
      <c r="A97" t="s">
        <v>409</v>
      </c>
      <c r="B97" t="s">
        <v>396</v>
      </c>
      <c r="D97">
        <v>12</v>
      </c>
      <c r="E97">
        <v>21</v>
      </c>
      <c r="F97">
        <v>25</v>
      </c>
      <c r="G97">
        <f t="shared" si="1"/>
        <v>4</v>
      </c>
      <c r="H97">
        <v>0</v>
      </c>
    </row>
    <row r="98" spans="1:8" x14ac:dyDescent="0.35">
      <c r="A98" t="s">
        <v>408</v>
      </c>
      <c r="B98" t="s">
        <v>386</v>
      </c>
      <c r="C98" t="s">
        <v>678</v>
      </c>
      <c r="D98">
        <v>356</v>
      </c>
      <c r="E98">
        <v>543</v>
      </c>
      <c r="F98">
        <v>555</v>
      </c>
      <c r="G98">
        <f t="shared" si="1"/>
        <v>12</v>
      </c>
      <c r="H98">
        <v>0</v>
      </c>
    </row>
    <row r="99" spans="1:8" x14ac:dyDescent="0.35">
      <c r="A99" t="s">
        <v>407</v>
      </c>
      <c r="B99" t="s">
        <v>396</v>
      </c>
      <c r="D99">
        <v>12</v>
      </c>
      <c r="E99">
        <v>21</v>
      </c>
      <c r="F99">
        <v>25</v>
      </c>
      <c r="G99">
        <f t="shared" si="1"/>
        <v>4</v>
      </c>
      <c r="H99">
        <v>0</v>
      </c>
    </row>
    <row r="100" spans="1:8" x14ac:dyDescent="0.35">
      <c r="A100" t="s">
        <v>402</v>
      </c>
      <c r="B100" t="s">
        <v>391</v>
      </c>
      <c r="D100">
        <v>1</v>
      </c>
      <c r="E100">
        <v>12</v>
      </c>
      <c r="F100">
        <v>25</v>
      </c>
      <c r="G100">
        <f t="shared" si="1"/>
        <v>13</v>
      </c>
      <c r="H100">
        <v>0</v>
      </c>
    </row>
    <row r="101" spans="1:8" x14ac:dyDescent="0.35">
      <c r="A101" t="s">
        <v>405</v>
      </c>
      <c r="B101" t="s">
        <v>386</v>
      </c>
      <c r="C101" t="s">
        <v>677</v>
      </c>
      <c r="D101">
        <v>345</v>
      </c>
      <c r="E101">
        <v>2222</v>
      </c>
      <c r="F101">
        <v>2555</v>
      </c>
      <c r="G101">
        <f t="shared" si="1"/>
        <v>333</v>
      </c>
      <c r="H101">
        <v>0</v>
      </c>
    </row>
    <row r="102" spans="1:8" x14ac:dyDescent="0.35">
      <c r="A102" t="s">
        <v>406</v>
      </c>
      <c r="B102" t="s">
        <v>397</v>
      </c>
      <c r="C102" t="s">
        <v>678</v>
      </c>
      <c r="D102">
        <v>500</v>
      </c>
      <c r="E102">
        <v>4321</v>
      </c>
      <c r="F102">
        <v>5555</v>
      </c>
      <c r="G102">
        <f t="shared" si="1"/>
        <v>1234</v>
      </c>
      <c r="H102">
        <v>0</v>
      </c>
    </row>
    <row r="103" spans="1:8" x14ac:dyDescent="0.35">
      <c r="A103" t="s">
        <v>411</v>
      </c>
      <c r="B103" t="s">
        <v>386</v>
      </c>
      <c r="C103" t="s">
        <v>678</v>
      </c>
      <c r="D103">
        <v>456</v>
      </c>
      <c r="E103">
        <v>4334</v>
      </c>
      <c r="F103">
        <v>5555</v>
      </c>
      <c r="G103">
        <f t="shared" si="1"/>
        <v>1221</v>
      </c>
      <c r="H103">
        <v>0</v>
      </c>
    </row>
    <row r="104" spans="1:8" x14ac:dyDescent="0.35">
      <c r="A104" t="s">
        <v>410</v>
      </c>
      <c r="B104" t="s">
        <v>394</v>
      </c>
      <c r="D104">
        <v>32</v>
      </c>
      <c r="E104">
        <v>12</v>
      </c>
      <c r="F104">
        <v>25</v>
      </c>
      <c r="G104">
        <f t="shared" si="1"/>
        <v>13</v>
      </c>
      <c r="H104">
        <v>0</v>
      </c>
    </row>
    <row r="105" spans="1:8" x14ac:dyDescent="0.35">
      <c r="A105" t="s">
        <v>404</v>
      </c>
      <c r="B105" t="s">
        <v>388</v>
      </c>
      <c r="D105">
        <v>70</v>
      </c>
      <c r="E105">
        <v>222</v>
      </c>
      <c r="F105">
        <v>333</v>
      </c>
      <c r="G105">
        <f t="shared" si="1"/>
        <v>111</v>
      </c>
      <c r="H105">
        <v>0</v>
      </c>
    </row>
    <row r="106" spans="1:8" x14ac:dyDescent="0.35">
      <c r="A106" t="s">
        <v>400</v>
      </c>
      <c r="B106" t="s">
        <v>386</v>
      </c>
      <c r="C106" t="s">
        <v>678</v>
      </c>
      <c r="D106">
        <v>345</v>
      </c>
      <c r="E106">
        <v>2222</v>
      </c>
      <c r="F106">
        <v>3000</v>
      </c>
      <c r="G106">
        <f t="shared" si="1"/>
        <v>778</v>
      </c>
      <c r="H106">
        <v>0</v>
      </c>
    </row>
    <row r="107" spans="1:8" x14ac:dyDescent="0.35">
      <c r="A107" t="s">
        <v>408</v>
      </c>
      <c r="B107" t="s">
        <v>397</v>
      </c>
      <c r="C107" t="s">
        <v>678</v>
      </c>
      <c r="D107">
        <v>500</v>
      </c>
      <c r="E107">
        <v>3333</v>
      </c>
      <c r="F107">
        <v>4000</v>
      </c>
      <c r="G107">
        <f t="shared" si="1"/>
        <v>667</v>
      </c>
      <c r="H107">
        <v>0</v>
      </c>
    </row>
    <row r="108" spans="1:8" x14ac:dyDescent="0.35">
      <c r="A108" t="s">
        <v>411</v>
      </c>
      <c r="B108" t="s">
        <v>385</v>
      </c>
      <c r="D108">
        <v>2</v>
      </c>
      <c r="E108">
        <v>22</v>
      </c>
      <c r="F108">
        <v>25</v>
      </c>
      <c r="G108">
        <f t="shared" si="1"/>
        <v>3</v>
      </c>
      <c r="H108">
        <v>0</v>
      </c>
    </row>
    <row r="109" spans="1:8" x14ac:dyDescent="0.35">
      <c r="A109" t="s">
        <v>405</v>
      </c>
      <c r="B109" t="s">
        <v>386</v>
      </c>
      <c r="C109" t="s">
        <v>678</v>
      </c>
      <c r="D109">
        <v>345</v>
      </c>
      <c r="E109">
        <v>333</v>
      </c>
      <c r="F109">
        <v>333</v>
      </c>
      <c r="G109">
        <f t="shared" si="1"/>
        <v>0</v>
      </c>
      <c r="H109">
        <v>0</v>
      </c>
    </row>
    <row r="110" spans="1:8" x14ac:dyDescent="0.35">
      <c r="A110" t="s">
        <v>407</v>
      </c>
      <c r="B110" t="s">
        <v>386</v>
      </c>
      <c r="C110" t="s">
        <v>678</v>
      </c>
      <c r="D110">
        <v>345</v>
      </c>
      <c r="E110">
        <v>333</v>
      </c>
      <c r="F110">
        <v>333</v>
      </c>
      <c r="G110">
        <f t="shared" si="1"/>
        <v>0</v>
      </c>
      <c r="H110">
        <v>0</v>
      </c>
    </row>
    <row r="111" spans="1:8" x14ac:dyDescent="0.35">
      <c r="A111" t="s">
        <v>404</v>
      </c>
      <c r="B111" t="s">
        <v>386</v>
      </c>
      <c r="C111" t="s">
        <v>678</v>
      </c>
      <c r="D111">
        <v>345</v>
      </c>
      <c r="E111">
        <v>444</v>
      </c>
      <c r="F111">
        <v>500</v>
      </c>
      <c r="G111">
        <f t="shared" si="1"/>
        <v>56</v>
      </c>
      <c r="H111">
        <v>0</v>
      </c>
    </row>
    <row r="112" spans="1:8" x14ac:dyDescent="0.35">
      <c r="A112" t="s">
        <v>402</v>
      </c>
      <c r="B112" t="s">
        <v>386</v>
      </c>
      <c r="C112" t="s">
        <v>678</v>
      </c>
      <c r="D112">
        <v>345</v>
      </c>
      <c r="E112">
        <v>434</v>
      </c>
      <c r="F112">
        <v>500</v>
      </c>
      <c r="G112">
        <f t="shared" si="1"/>
        <v>66</v>
      </c>
      <c r="H112">
        <v>0</v>
      </c>
    </row>
    <row r="113" spans="1:8" x14ac:dyDescent="0.35">
      <c r="A113" t="s">
        <v>411</v>
      </c>
      <c r="B113" t="s">
        <v>391</v>
      </c>
      <c r="D113">
        <v>1</v>
      </c>
      <c r="E113">
        <v>11</v>
      </c>
      <c r="F113">
        <v>25</v>
      </c>
      <c r="G113">
        <f t="shared" si="1"/>
        <v>14</v>
      </c>
      <c r="H113">
        <v>0</v>
      </c>
    </row>
    <row r="114" spans="1:8" x14ac:dyDescent="0.35">
      <c r="A114" t="s">
        <v>410</v>
      </c>
      <c r="B114" t="s">
        <v>386</v>
      </c>
      <c r="C114" t="s">
        <v>678</v>
      </c>
      <c r="D114">
        <v>340</v>
      </c>
      <c r="E114">
        <v>444</v>
      </c>
      <c r="F114">
        <v>555</v>
      </c>
      <c r="G114">
        <f t="shared" si="1"/>
        <v>111</v>
      </c>
      <c r="H114">
        <v>0</v>
      </c>
    </row>
    <row r="115" spans="1:8" x14ac:dyDescent="0.35">
      <c r="A115" t="s">
        <v>407</v>
      </c>
      <c r="B115" t="s">
        <v>386</v>
      </c>
      <c r="C115" t="s">
        <v>678</v>
      </c>
      <c r="D115">
        <v>345</v>
      </c>
      <c r="E115">
        <v>444</v>
      </c>
      <c r="F115">
        <v>555</v>
      </c>
      <c r="G115">
        <f t="shared" si="1"/>
        <v>111</v>
      </c>
      <c r="H115">
        <v>0</v>
      </c>
    </row>
    <row r="116" spans="1:8" x14ac:dyDescent="0.35">
      <c r="A116" t="s">
        <v>413</v>
      </c>
      <c r="B116" t="s">
        <v>396</v>
      </c>
      <c r="D116">
        <v>12</v>
      </c>
      <c r="E116">
        <v>41</v>
      </c>
      <c r="F116">
        <v>55</v>
      </c>
      <c r="G116">
        <f t="shared" si="1"/>
        <v>14</v>
      </c>
      <c r="H116">
        <v>0</v>
      </c>
    </row>
    <row r="117" spans="1:8" x14ac:dyDescent="0.35">
      <c r="A117" t="s">
        <v>409</v>
      </c>
      <c r="B117" t="s">
        <v>386</v>
      </c>
      <c r="C117" t="s">
        <v>678</v>
      </c>
      <c r="D117">
        <v>340</v>
      </c>
      <c r="E117">
        <v>432</v>
      </c>
      <c r="F117">
        <v>555</v>
      </c>
      <c r="G117">
        <f t="shared" si="1"/>
        <v>123</v>
      </c>
      <c r="H117">
        <v>0</v>
      </c>
    </row>
    <row r="118" spans="1:8" x14ac:dyDescent="0.35">
      <c r="A118" t="s">
        <v>405</v>
      </c>
      <c r="B118" t="s">
        <v>386</v>
      </c>
      <c r="C118" t="s">
        <v>677</v>
      </c>
      <c r="D118">
        <v>345</v>
      </c>
      <c r="E118">
        <v>343</v>
      </c>
      <c r="F118">
        <v>555</v>
      </c>
      <c r="G118">
        <f t="shared" si="1"/>
        <v>212</v>
      </c>
      <c r="H118">
        <v>0</v>
      </c>
    </row>
    <row r="119" spans="1:8" x14ac:dyDescent="0.35">
      <c r="A119" t="s">
        <v>408</v>
      </c>
      <c r="B119" t="s">
        <v>395</v>
      </c>
      <c r="D119">
        <v>32</v>
      </c>
      <c r="E119">
        <v>433</v>
      </c>
      <c r="F119">
        <v>555</v>
      </c>
      <c r="G119">
        <f t="shared" si="1"/>
        <v>122</v>
      </c>
      <c r="H119">
        <v>0</v>
      </c>
    </row>
    <row r="120" spans="1:8" x14ac:dyDescent="0.35">
      <c r="A120" t="s">
        <v>406</v>
      </c>
      <c r="B120" t="s">
        <v>385</v>
      </c>
      <c r="D120">
        <v>2</v>
      </c>
      <c r="E120">
        <v>431</v>
      </c>
      <c r="F120">
        <v>555</v>
      </c>
      <c r="G120">
        <f t="shared" si="1"/>
        <v>124</v>
      </c>
      <c r="H120">
        <v>0</v>
      </c>
    </row>
    <row r="121" spans="1:8" x14ac:dyDescent="0.35">
      <c r="A121" t="s">
        <v>400</v>
      </c>
      <c r="B121" t="s">
        <v>388</v>
      </c>
      <c r="D121">
        <v>70</v>
      </c>
      <c r="E121">
        <v>321</v>
      </c>
      <c r="F121">
        <v>555</v>
      </c>
      <c r="G121">
        <f t="shared" si="1"/>
        <v>234</v>
      </c>
      <c r="H121">
        <v>0</v>
      </c>
    </row>
    <row r="122" spans="1:8" x14ac:dyDescent="0.35">
      <c r="A122" t="s">
        <v>407</v>
      </c>
      <c r="B122" t="s">
        <v>386</v>
      </c>
      <c r="C122" t="s">
        <v>678</v>
      </c>
      <c r="D122">
        <v>345</v>
      </c>
      <c r="E122">
        <v>432</v>
      </c>
      <c r="F122">
        <v>555</v>
      </c>
      <c r="G122">
        <f t="shared" si="1"/>
        <v>123</v>
      </c>
      <c r="H122">
        <v>0</v>
      </c>
    </row>
    <row r="123" spans="1:8" x14ac:dyDescent="0.35">
      <c r="A123" t="s">
        <v>404</v>
      </c>
      <c r="B123" t="s">
        <v>396</v>
      </c>
      <c r="D123">
        <v>2</v>
      </c>
      <c r="E123">
        <v>44</v>
      </c>
      <c r="F123">
        <v>55</v>
      </c>
      <c r="G123">
        <f t="shared" si="1"/>
        <v>11</v>
      </c>
      <c r="H123">
        <v>0</v>
      </c>
    </row>
    <row r="124" spans="1:8" x14ac:dyDescent="0.35">
      <c r="A124" t="s">
        <v>405</v>
      </c>
      <c r="B124" t="s">
        <v>396</v>
      </c>
      <c r="D124">
        <v>2</v>
      </c>
      <c r="E124">
        <v>44</v>
      </c>
      <c r="F124">
        <v>55</v>
      </c>
      <c r="G124">
        <f t="shared" si="1"/>
        <v>11</v>
      </c>
      <c r="H124">
        <v>0</v>
      </c>
    </row>
    <row r="125" spans="1:8" x14ac:dyDescent="0.35">
      <c r="A125" t="s">
        <v>411</v>
      </c>
      <c r="B125" t="s">
        <v>386</v>
      </c>
      <c r="C125" t="s">
        <v>677</v>
      </c>
      <c r="D125">
        <v>345</v>
      </c>
      <c r="E125">
        <v>321</v>
      </c>
      <c r="F125">
        <v>555</v>
      </c>
      <c r="G125">
        <f t="shared" si="1"/>
        <v>234</v>
      </c>
      <c r="H125">
        <v>0</v>
      </c>
    </row>
    <row r="126" spans="1:8" x14ac:dyDescent="0.35">
      <c r="A126" t="s">
        <v>409</v>
      </c>
      <c r="B126" t="s">
        <v>396</v>
      </c>
      <c r="D126">
        <v>2</v>
      </c>
      <c r="E126">
        <v>43</v>
      </c>
      <c r="F126">
        <v>55</v>
      </c>
      <c r="G126">
        <f t="shared" si="1"/>
        <v>12</v>
      </c>
      <c r="H126">
        <v>0</v>
      </c>
    </row>
    <row r="127" spans="1:8" x14ac:dyDescent="0.35">
      <c r="A127" t="s">
        <v>410</v>
      </c>
      <c r="B127" t="s">
        <v>397</v>
      </c>
      <c r="C127" t="s">
        <v>678</v>
      </c>
      <c r="D127">
        <v>500</v>
      </c>
      <c r="E127">
        <v>4321</v>
      </c>
      <c r="F127">
        <v>5555</v>
      </c>
      <c r="G127">
        <f t="shared" si="1"/>
        <v>1234</v>
      </c>
      <c r="H127">
        <v>0</v>
      </c>
    </row>
    <row r="128" spans="1:8" x14ac:dyDescent="0.35">
      <c r="A128" t="s">
        <v>408</v>
      </c>
      <c r="B128" t="s">
        <v>391</v>
      </c>
      <c r="D128">
        <v>1</v>
      </c>
      <c r="E128">
        <v>21</v>
      </c>
      <c r="F128">
        <v>55</v>
      </c>
      <c r="G128">
        <f t="shared" si="1"/>
        <v>34</v>
      </c>
      <c r="H128">
        <v>0</v>
      </c>
    </row>
    <row r="129" spans="1:8" x14ac:dyDescent="0.35">
      <c r="A129" t="s">
        <v>405</v>
      </c>
      <c r="B129" t="s">
        <v>398</v>
      </c>
      <c r="C129" t="s">
        <v>678</v>
      </c>
      <c r="D129">
        <v>661</v>
      </c>
      <c r="E129">
        <v>444</v>
      </c>
      <c r="F129">
        <v>555</v>
      </c>
      <c r="G129">
        <f t="shared" si="1"/>
        <v>111</v>
      </c>
      <c r="H129">
        <v>0</v>
      </c>
    </row>
    <row r="130" spans="1:8" x14ac:dyDescent="0.35">
      <c r="A130" t="s">
        <v>406</v>
      </c>
      <c r="B130" t="s">
        <v>398</v>
      </c>
      <c r="C130" t="s">
        <v>678</v>
      </c>
      <c r="D130">
        <v>661</v>
      </c>
      <c r="E130">
        <v>444</v>
      </c>
      <c r="F130">
        <v>500</v>
      </c>
      <c r="G130">
        <f t="shared" si="1"/>
        <v>56</v>
      </c>
      <c r="H130">
        <v>0</v>
      </c>
    </row>
    <row r="131" spans="1:8" x14ac:dyDescent="0.35">
      <c r="A131" t="s">
        <v>407</v>
      </c>
      <c r="B131" t="s">
        <v>386</v>
      </c>
      <c r="C131" t="s">
        <v>678</v>
      </c>
      <c r="D131">
        <v>345</v>
      </c>
      <c r="E131">
        <v>4444</v>
      </c>
      <c r="F131">
        <v>5000</v>
      </c>
      <c r="G131">
        <f t="shared" ref="G131:G190" si="2">F:F-E:E</f>
        <v>556</v>
      </c>
      <c r="H131">
        <v>0</v>
      </c>
    </row>
    <row r="132" spans="1:8" x14ac:dyDescent="0.35">
      <c r="A132" t="s">
        <v>404</v>
      </c>
      <c r="B132" t="s">
        <v>385</v>
      </c>
      <c r="D132">
        <v>2</v>
      </c>
      <c r="E132">
        <v>44</v>
      </c>
      <c r="F132">
        <v>55</v>
      </c>
      <c r="G132">
        <f t="shared" si="2"/>
        <v>11</v>
      </c>
      <c r="H132">
        <v>0</v>
      </c>
    </row>
    <row r="133" spans="1:8" x14ac:dyDescent="0.35">
      <c r="A133" t="s">
        <v>400</v>
      </c>
      <c r="B133" t="s">
        <v>395</v>
      </c>
      <c r="D133">
        <v>32</v>
      </c>
      <c r="E133">
        <v>443</v>
      </c>
      <c r="F133">
        <v>500</v>
      </c>
      <c r="G133">
        <f t="shared" si="2"/>
        <v>57</v>
      </c>
      <c r="H133">
        <v>0</v>
      </c>
    </row>
    <row r="134" spans="1:8" x14ac:dyDescent="0.35">
      <c r="A134" t="s">
        <v>411</v>
      </c>
      <c r="B134" t="s">
        <v>394</v>
      </c>
      <c r="D134">
        <v>42</v>
      </c>
      <c r="E134">
        <v>56</v>
      </c>
      <c r="F134">
        <v>60</v>
      </c>
      <c r="G134">
        <f t="shared" si="2"/>
        <v>4</v>
      </c>
      <c r="H134">
        <v>0</v>
      </c>
    </row>
    <row r="135" spans="1:8" x14ac:dyDescent="0.35">
      <c r="A135" t="s">
        <v>413</v>
      </c>
      <c r="B135" t="s">
        <v>386</v>
      </c>
      <c r="C135" t="s">
        <v>678</v>
      </c>
      <c r="D135">
        <v>345</v>
      </c>
      <c r="E135">
        <v>3213</v>
      </c>
      <c r="F135">
        <v>4000</v>
      </c>
      <c r="G135">
        <f t="shared" si="2"/>
        <v>787</v>
      </c>
      <c r="H135">
        <v>0</v>
      </c>
    </row>
    <row r="136" spans="1:8" x14ac:dyDescent="0.35">
      <c r="A136" t="s">
        <v>402</v>
      </c>
      <c r="B136" t="s">
        <v>388</v>
      </c>
      <c r="D136">
        <v>77</v>
      </c>
      <c r="E136">
        <v>432</v>
      </c>
      <c r="F136">
        <v>500</v>
      </c>
      <c r="G136">
        <f t="shared" si="2"/>
        <v>68</v>
      </c>
      <c r="H136">
        <v>0</v>
      </c>
    </row>
    <row r="137" spans="1:8" x14ac:dyDescent="0.35">
      <c r="A137" t="s">
        <v>411</v>
      </c>
      <c r="B137" t="s">
        <v>388</v>
      </c>
      <c r="D137">
        <v>77</v>
      </c>
      <c r="E137">
        <v>432</v>
      </c>
      <c r="F137">
        <v>500</v>
      </c>
      <c r="G137">
        <f t="shared" si="2"/>
        <v>68</v>
      </c>
      <c r="H137">
        <v>0</v>
      </c>
    </row>
    <row r="138" spans="1:8" x14ac:dyDescent="0.35">
      <c r="A138" t="s">
        <v>404</v>
      </c>
      <c r="B138" t="s">
        <v>398</v>
      </c>
      <c r="C138" t="s">
        <v>677</v>
      </c>
      <c r="D138">
        <v>555</v>
      </c>
      <c r="E138">
        <v>432</v>
      </c>
      <c r="F138">
        <v>500</v>
      </c>
      <c r="G138">
        <f t="shared" si="2"/>
        <v>68</v>
      </c>
      <c r="H138">
        <v>0</v>
      </c>
    </row>
    <row r="139" spans="1:8" x14ac:dyDescent="0.35">
      <c r="A139" t="s">
        <v>405</v>
      </c>
      <c r="B139" t="s">
        <v>388</v>
      </c>
      <c r="D139">
        <v>77</v>
      </c>
      <c r="E139">
        <v>342</v>
      </c>
      <c r="F139">
        <v>500</v>
      </c>
      <c r="G139">
        <f t="shared" si="2"/>
        <v>158</v>
      </c>
      <c r="H139">
        <v>0</v>
      </c>
    </row>
    <row r="140" spans="1:8" x14ac:dyDescent="0.35">
      <c r="A140" t="s">
        <v>407</v>
      </c>
      <c r="B140" t="s">
        <v>388</v>
      </c>
      <c r="D140">
        <v>77</v>
      </c>
      <c r="E140">
        <v>345</v>
      </c>
      <c r="F140">
        <v>500</v>
      </c>
      <c r="G140">
        <f t="shared" si="2"/>
        <v>155</v>
      </c>
      <c r="H140">
        <v>0</v>
      </c>
    </row>
    <row r="141" spans="1:8" x14ac:dyDescent="0.35">
      <c r="A141" t="s">
        <v>402</v>
      </c>
      <c r="B141" t="s">
        <v>386</v>
      </c>
      <c r="C141" t="s">
        <v>678</v>
      </c>
      <c r="D141">
        <v>345</v>
      </c>
      <c r="E141">
        <v>3454</v>
      </c>
      <c r="F141">
        <v>5000</v>
      </c>
      <c r="G141">
        <f t="shared" si="2"/>
        <v>1546</v>
      </c>
      <c r="H141">
        <v>0</v>
      </c>
    </row>
    <row r="142" spans="1:8" x14ac:dyDescent="0.35">
      <c r="A142" t="s">
        <v>410</v>
      </c>
      <c r="B142" t="s">
        <v>398</v>
      </c>
      <c r="C142" t="s">
        <v>678</v>
      </c>
      <c r="D142">
        <v>345</v>
      </c>
      <c r="E142">
        <v>466</v>
      </c>
      <c r="F142">
        <v>500</v>
      </c>
      <c r="G142">
        <f t="shared" si="2"/>
        <v>34</v>
      </c>
      <c r="H142">
        <v>0</v>
      </c>
    </row>
    <row r="143" spans="1:8" x14ac:dyDescent="0.35">
      <c r="A143" t="s">
        <v>408</v>
      </c>
      <c r="B143" t="s">
        <v>386</v>
      </c>
      <c r="C143" t="s">
        <v>678</v>
      </c>
      <c r="D143">
        <v>345</v>
      </c>
      <c r="E143">
        <v>564</v>
      </c>
      <c r="F143">
        <v>600</v>
      </c>
      <c r="G143">
        <f t="shared" si="2"/>
        <v>36</v>
      </c>
      <c r="H143">
        <v>0</v>
      </c>
    </row>
    <row r="144" spans="1:8" x14ac:dyDescent="0.35">
      <c r="A144" t="s">
        <v>409</v>
      </c>
      <c r="B144" t="s">
        <v>386</v>
      </c>
      <c r="C144" t="s">
        <v>678</v>
      </c>
      <c r="D144">
        <v>345</v>
      </c>
      <c r="E144">
        <v>6455</v>
      </c>
      <c r="F144">
        <v>7000</v>
      </c>
      <c r="G144">
        <f t="shared" si="2"/>
        <v>545</v>
      </c>
      <c r="H144">
        <v>0</v>
      </c>
    </row>
    <row r="145" spans="1:8" x14ac:dyDescent="0.35">
      <c r="A145" t="s">
        <v>406</v>
      </c>
      <c r="B145" t="s">
        <v>386</v>
      </c>
      <c r="C145" t="s">
        <v>678</v>
      </c>
      <c r="D145">
        <v>345</v>
      </c>
      <c r="E145">
        <v>575</v>
      </c>
      <c r="F145">
        <v>600</v>
      </c>
      <c r="G145">
        <f t="shared" si="2"/>
        <v>25</v>
      </c>
      <c r="H145">
        <v>0</v>
      </c>
    </row>
    <row r="146" spans="1:8" x14ac:dyDescent="0.35">
      <c r="A146" t="s">
        <v>407</v>
      </c>
      <c r="B146" t="s">
        <v>391</v>
      </c>
      <c r="D146">
        <v>1</v>
      </c>
      <c r="E146">
        <v>46</v>
      </c>
      <c r="F146">
        <v>60</v>
      </c>
      <c r="G146">
        <f t="shared" si="2"/>
        <v>14</v>
      </c>
      <c r="H146">
        <v>0</v>
      </c>
    </row>
    <row r="147" spans="1:8" x14ac:dyDescent="0.35">
      <c r="A147" t="s">
        <v>404</v>
      </c>
      <c r="B147" t="s">
        <v>386</v>
      </c>
      <c r="C147" t="s">
        <v>678</v>
      </c>
      <c r="D147">
        <v>345</v>
      </c>
      <c r="E147">
        <v>745</v>
      </c>
      <c r="F147">
        <v>800</v>
      </c>
      <c r="G147">
        <f t="shared" si="2"/>
        <v>55</v>
      </c>
      <c r="H147">
        <v>0</v>
      </c>
    </row>
    <row r="148" spans="1:8" x14ac:dyDescent="0.35">
      <c r="A148" t="s">
        <v>405</v>
      </c>
      <c r="B148" t="s">
        <v>386</v>
      </c>
      <c r="C148" t="s">
        <v>678</v>
      </c>
      <c r="D148">
        <v>345</v>
      </c>
      <c r="E148">
        <v>745</v>
      </c>
      <c r="F148">
        <v>800</v>
      </c>
      <c r="G148">
        <f t="shared" si="2"/>
        <v>55</v>
      </c>
      <c r="H148">
        <v>0</v>
      </c>
    </row>
    <row r="149" spans="1:8" x14ac:dyDescent="0.35">
      <c r="A149" t="s">
        <v>400</v>
      </c>
      <c r="B149" t="s">
        <v>386</v>
      </c>
      <c r="C149" t="s">
        <v>678</v>
      </c>
      <c r="D149">
        <v>345</v>
      </c>
      <c r="E149">
        <v>546</v>
      </c>
      <c r="F149">
        <v>800</v>
      </c>
      <c r="G149">
        <f t="shared" si="2"/>
        <v>254</v>
      </c>
      <c r="H149">
        <v>0</v>
      </c>
    </row>
    <row r="150" spans="1:8" x14ac:dyDescent="0.35">
      <c r="A150" t="s">
        <v>402</v>
      </c>
      <c r="B150" t="s">
        <v>386</v>
      </c>
      <c r="C150" t="s">
        <v>678</v>
      </c>
      <c r="D150">
        <v>345</v>
      </c>
      <c r="E150">
        <v>677</v>
      </c>
      <c r="F150">
        <v>700</v>
      </c>
      <c r="G150">
        <f t="shared" si="2"/>
        <v>23</v>
      </c>
      <c r="H150">
        <v>0</v>
      </c>
    </row>
    <row r="151" spans="1:8" x14ac:dyDescent="0.35">
      <c r="A151" t="s">
        <v>408</v>
      </c>
      <c r="B151" t="s">
        <v>398</v>
      </c>
      <c r="C151" t="s">
        <v>677</v>
      </c>
      <c r="D151">
        <v>345</v>
      </c>
      <c r="E151">
        <v>675</v>
      </c>
      <c r="F151">
        <v>700</v>
      </c>
      <c r="G151">
        <f t="shared" si="2"/>
        <v>25</v>
      </c>
      <c r="H151">
        <v>0</v>
      </c>
    </row>
    <row r="152" spans="1:8" x14ac:dyDescent="0.35">
      <c r="A152" t="s">
        <v>407</v>
      </c>
      <c r="B152" t="s">
        <v>397</v>
      </c>
      <c r="C152" t="s">
        <v>678</v>
      </c>
      <c r="D152">
        <v>345</v>
      </c>
      <c r="E152">
        <v>876</v>
      </c>
      <c r="F152">
        <v>900</v>
      </c>
      <c r="G152">
        <f t="shared" si="2"/>
        <v>24</v>
      </c>
      <c r="H152">
        <v>0</v>
      </c>
    </row>
    <row r="153" spans="1:8" x14ac:dyDescent="0.35">
      <c r="A153" t="s">
        <v>404</v>
      </c>
      <c r="B153" t="s">
        <v>398</v>
      </c>
      <c r="C153" t="s">
        <v>678</v>
      </c>
      <c r="D153">
        <v>555</v>
      </c>
      <c r="E153">
        <v>657</v>
      </c>
      <c r="F153">
        <v>900</v>
      </c>
      <c r="G153">
        <f t="shared" si="2"/>
        <v>243</v>
      </c>
      <c r="H153">
        <v>0</v>
      </c>
    </row>
    <row r="154" spans="1:8" x14ac:dyDescent="0.35">
      <c r="A154" t="s">
        <v>411</v>
      </c>
      <c r="B154" t="s">
        <v>396</v>
      </c>
      <c r="D154">
        <v>12</v>
      </c>
      <c r="E154">
        <v>66</v>
      </c>
      <c r="F154">
        <v>90</v>
      </c>
      <c r="G154">
        <f t="shared" si="2"/>
        <v>24</v>
      </c>
      <c r="H154">
        <v>0</v>
      </c>
    </row>
    <row r="155" spans="1:8" x14ac:dyDescent="0.35">
      <c r="A155" t="s">
        <v>406</v>
      </c>
      <c r="B155" t="s">
        <v>398</v>
      </c>
      <c r="C155" t="s">
        <v>678</v>
      </c>
      <c r="D155">
        <v>555</v>
      </c>
      <c r="E155">
        <v>757</v>
      </c>
      <c r="F155">
        <v>800</v>
      </c>
      <c r="G155">
        <f t="shared" si="2"/>
        <v>43</v>
      </c>
      <c r="H155">
        <v>0</v>
      </c>
    </row>
    <row r="156" spans="1:8" x14ac:dyDescent="0.35">
      <c r="A156" t="s">
        <v>408</v>
      </c>
      <c r="B156" t="s">
        <v>396</v>
      </c>
      <c r="D156">
        <v>12</v>
      </c>
      <c r="E156">
        <v>34</v>
      </c>
      <c r="F156">
        <v>40</v>
      </c>
      <c r="G156">
        <f t="shared" si="2"/>
        <v>6</v>
      </c>
      <c r="H156">
        <v>0</v>
      </c>
    </row>
    <row r="157" spans="1:8" x14ac:dyDescent="0.35">
      <c r="A157" t="s">
        <v>405</v>
      </c>
      <c r="B157" t="s">
        <v>397</v>
      </c>
      <c r="C157" t="s">
        <v>678</v>
      </c>
      <c r="D157">
        <v>550</v>
      </c>
      <c r="E157">
        <v>3544</v>
      </c>
      <c r="F157">
        <v>4000</v>
      </c>
      <c r="G157">
        <f t="shared" si="2"/>
        <v>456</v>
      </c>
      <c r="H157">
        <v>0</v>
      </c>
    </row>
    <row r="158" spans="1:8" x14ac:dyDescent="0.35">
      <c r="A158" t="s">
        <v>411</v>
      </c>
      <c r="B158" t="s">
        <v>394</v>
      </c>
      <c r="D158">
        <v>42</v>
      </c>
      <c r="E158">
        <v>54</v>
      </c>
      <c r="F158">
        <v>60</v>
      </c>
      <c r="G158">
        <f t="shared" si="2"/>
        <v>6</v>
      </c>
      <c r="H158">
        <v>0</v>
      </c>
    </row>
    <row r="159" spans="1:8" x14ac:dyDescent="0.35">
      <c r="A159" t="s">
        <v>402</v>
      </c>
      <c r="B159" t="s">
        <v>385</v>
      </c>
      <c r="D159">
        <v>2</v>
      </c>
      <c r="E159">
        <v>545</v>
      </c>
      <c r="F159">
        <v>600</v>
      </c>
      <c r="G159">
        <f t="shared" si="2"/>
        <v>55</v>
      </c>
      <c r="H159">
        <v>0</v>
      </c>
    </row>
    <row r="160" spans="1:8" x14ac:dyDescent="0.35">
      <c r="A160" t="s">
        <v>413</v>
      </c>
      <c r="B160" t="s">
        <v>398</v>
      </c>
      <c r="C160" t="s">
        <v>678</v>
      </c>
      <c r="D160">
        <v>555</v>
      </c>
      <c r="E160">
        <v>543</v>
      </c>
      <c r="F160">
        <v>600</v>
      </c>
      <c r="G160">
        <f t="shared" si="2"/>
        <v>57</v>
      </c>
      <c r="H160">
        <v>0</v>
      </c>
    </row>
    <row r="161" spans="1:8" x14ac:dyDescent="0.35">
      <c r="A161" t="s">
        <v>409</v>
      </c>
      <c r="B161" t="s">
        <v>385</v>
      </c>
      <c r="D161">
        <v>2</v>
      </c>
      <c r="E161">
        <v>543</v>
      </c>
      <c r="F161">
        <v>600</v>
      </c>
      <c r="G161">
        <f t="shared" si="2"/>
        <v>57</v>
      </c>
      <c r="H161">
        <v>0</v>
      </c>
    </row>
    <row r="162" spans="1:8" x14ac:dyDescent="0.35">
      <c r="A162" t="s">
        <v>410</v>
      </c>
      <c r="B162" t="s">
        <v>385</v>
      </c>
      <c r="D162">
        <v>2</v>
      </c>
      <c r="E162">
        <v>243</v>
      </c>
      <c r="F162">
        <v>300</v>
      </c>
      <c r="G162">
        <f t="shared" si="2"/>
        <v>57</v>
      </c>
      <c r="H162">
        <v>0</v>
      </c>
    </row>
    <row r="163" spans="1:8" x14ac:dyDescent="0.35">
      <c r="A163" t="s">
        <v>400</v>
      </c>
      <c r="B163" t="s">
        <v>386</v>
      </c>
      <c r="C163" t="s">
        <v>678</v>
      </c>
      <c r="D163">
        <v>345</v>
      </c>
      <c r="E163">
        <v>455</v>
      </c>
      <c r="F163">
        <v>300</v>
      </c>
      <c r="G163">
        <v>0</v>
      </c>
      <c r="H163">
        <v>155</v>
      </c>
    </row>
    <row r="164" spans="1:8" x14ac:dyDescent="0.35">
      <c r="A164" t="s">
        <v>407</v>
      </c>
      <c r="B164" t="s">
        <v>386</v>
      </c>
      <c r="C164" t="s">
        <v>678</v>
      </c>
      <c r="D164">
        <v>345</v>
      </c>
      <c r="E164">
        <v>543</v>
      </c>
      <c r="F164">
        <v>300</v>
      </c>
      <c r="G164">
        <v>0</v>
      </c>
      <c r="H164">
        <v>243</v>
      </c>
    </row>
    <row r="165" spans="1:8" x14ac:dyDescent="0.35">
      <c r="A165" t="s">
        <v>404</v>
      </c>
      <c r="B165" t="s">
        <v>391</v>
      </c>
      <c r="D165">
        <v>2</v>
      </c>
      <c r="E165">
        <v>54</v>
      </c>
      <c r="F165">
        <v>70</v>
      </c>
      <c r="G165">
        <f t="shared" si="2"/>
        <v>16</v>
      </c>
      <c r="H165">
        <v>0</v>
      </c>
    </row>
    <row r="166" spans="1:8" x14ac:dyDescent="0.35">
      <c r="A166" t="s">
        <v>411</v>
      </c>
      <c r="B166" t="s">
        <v>398</v>
      </c>
      <c r="C166" t="s">
        <v>678</v>
      </c>
      <c r="D166">
        <v>555</v>
      </c>
      <c r="E166">
        <v>435</v>
      </c>
      <c r="F166">
        <v>500</v>
      </c>
      <c r="G166">
        <f t="shared" si="2"/>
        <v>65</v>
      </c>
      <c r="H166">
        <v>0</v>
      </c>
    </row>
    <row r="167" spans="1:8" x14ac:dyDescent="0.35">
      <c r="A167" t="s">
        <v>408</v>
      </c>
      <c r="B167" t="s">
        <v>386</v>
      </c>
      <c r="C167" t="s">
        <v>677</v>
      </c>
      <c r="D167">
        <v>345</v>
      </c>
      <c r="E167">
        <v>4565</v>
      </c>
      <c r="F167">
        <v>5000</v>
      </c>
      <c r="G167">
        <f t="shared" si="2"/>
        <v>435</v>
      </c>
      <c r="H167">
        <v>0</v>
      </c>
    </row>
    <row r="168" spans="1:8" x14ac:dyDescent="0.35">
      <c r="A168" t="s">
        <v>402</v>
      </c>
      <c r="B168" t="s">
        <v>397</v>
      </c>
      <c r="C168" t="s">
        <v>678</v>
      </c>
      <c r="D168">
        <v>550</v>
      </c>
      <c r="E168">
        <v>4654</v>
      </c>
      <c r="F168">
        <v>5000</v>
      </c>
      <c r="G168">
        <f t="shared" si="2"/>
        <v>346</v>
      </c>
      <c r="H168">
        <v>0</v>
      </c>
    </row>
    <row r="169" spans="1:8" x14ac:dyDescent="0.35">
      <c r="A169" t="s">
        <v>405</v>
      </c>
      <c r="B169" t="s">
        <v>397</v>
      </c>
      <c r="C169" t="s">
        <v>678</v>
      </c>
      <c r="D169">
        <v>550</v>
      </c>
      <c r="E169">
        <v>6545</v>
      </c>
      <c r="F169">
        <v>7000</v>
      </c>
      <c r="G169">
        <f t="shared" si="2"/>
        <v>455</v>
      </c>
      <c r="H169">
        <v>0</v>
      </c>
    </row>
    <row r="170" spans="1:8" x14ac:dyDescent="0.35">
      <c r="A170" t="s">
        <v>406</v>
      </c>
      <c r="B170" t="s">
        <v>398</v>
      </c>
      <c r="C170" t="s">
        <v>678</v>
      </c>
      <c r="D170">
        <v>555</v>
      </c>
      <c r="E170">
        <v>456</v>
      </c>
      <c r="F170">
        <v>500</v>
      </c>
      <c r="G170">
        <f t="shared" si="2"/>
        <v>44</v>
      </c>
      <c r="H170">
        <v>0</v>
      </c>
    </row>
    <row r="171" spans="1:8" x14ac:dyDescent="0.35">
      <c r="A171" t="s">
        <v>411</v>
      </c>
      <c r="B171" t="s">
        <v>385</v>
      </c>
      <c r="D171">
        <v>2</v>
      </c>
      <c r="E171">
        <v>456</v>
      </c>
      <c r="F171">
        <v>500</v>
      </c>
      <c r="G171">
        <f t="shared" si="2"/>
        <v>44</v>
      </c>
      <c r="H171">
        <v>0</v>
      </c>
    </row>
    <row r="172" spans="1:8" x14ac:dyDescent="0.35">
      <c r="A172" t="s">
        <v>408</v>
      </c>
      <c r="B172" t="s">
        <v>388</v>
      </c>
      <c r="D172">
        <v>77</v>
      </c>
      <c r="E172">
        <v>456</v>
      </c>
      <c r="F172">
        <v>500</v>
      </c>
      <c r="G172">
        <f t="shared" si="2"/>
        <v>44</v>
      </c>
      <c r="H172">
        <v>0</v>
      </c>
    </row>
    <row r="173" spans="1:8" x14ac:dyDescent="0.35">
      <c r="A173" t="s">
        <v>405</v>
      </c>
      <c r="B173" t="s">
        <v>386</v>
      </c>
      <c r="C173" t="s">
        <v>678</v>
      </c>
      <c r="D173">
        <v>555</v>
      </c>
      <c r="E173">
        <v>5477</v>
      </c>
      <c r="F173">
        <v>5000</v>
      </c>
      <c r="G173">
        <v>0</v>
      </c>
      <c r="H173">
        <v>477</v>
      </c>
    </row>
    <row r="174" spans="1:8" x14ac:dyDescent="0.35">
      <c r="A174" t="s">
        <v>407</v>
      </c>
      <c r="B174" t="s">
        <v>394</v>
      </c>
      <c r="D174">
        <v>42</v>
      </c>
      <c r="E174">
        <v>56</v>
      </c>
      <c r="F174">
        <v>70</v>
      </c>
      <c r="G174">
        <f t="shared" si="2"/>
        <v>14</v>
      </c>
      <c r="H174">
        <v>0</v>
      </c>
    </row>
    <row r="175" spans="1:8" x14ac:dyDescent="0.35">
      <c r="A175" t="s">
        <v>413</v>
      </c>
      <c r="B175" t="s">
        <v>396</v>
      </c>
      <c r="D175">
        <v>12</v>
      </c>
      <c r="E175">
        <v>46</v>
      </c>
      <c r="F175">
        <v>70</v>
      </c>
      <c r="G175">
        <f t="shared" si="2"/>
        <v>24</v>
      </c>
      <c r="H175">
        <v>0</v>
      </c>
    </row>
    <row r="176" spans="1:8" x14ac:dyDescent="0.35">
      <c r="A176" t="s">
        <v>410</v>
      </c>
      <c r="B176" t="s">
        <v>386</v>
      </c>
      <c r="C176" t="s">
        <v>677</v>
      </c>
      <c r="D176">
        <v>454</v>
      </c>
      <c r="E176">
        <v>4745</v>
      </c>
      <c r="F176">
        <v>7000</v>
      </c>
      <c r="G176">
        <f t="shared" si="2"/>
        <v>2255</v>
      </c>
      <c r="H176">
        <v>0</v>
      </c>
    </row>
    <row r="177" spans="1:8" x14ac:dyDescent="0.35">
      <c r="A177" t="s">
        <v>400</v>
      </c>
      <c r="B177" t="s">
        <v>388</v>
      </c>
      <c r="D177">
        <v>77</v>
      </c>
      <c r="E177">
        <v>457</v>
      </c>
      <c r="F177">
        <v>700</v>
      </c>
      <c r="G177">
        <f t="shared" si="2"/>
        <v>243</v>
      </c>
      <c r="H177">
        <v>0</v>
      </c>
    </row>
    <row r="178" spans="1:8" x14ac:dyDescent="0.35">
      <c r="A178" t="s">
        <v>411</v>
      </c>
      <c r="B178" t="s">
        <v>386</v>
      </c>
      <c r="D178">
        <v>556</v>
      </c>
      <c r="E178">
        <v>566</v>
      </c>
      <c r="F178">
        <v>700</v>
      </c>
      <c r="G178">
        <f t="shared" si="2"/>
        <v>134</v>
      </c>
      <c r="H178">
        <v>0</v>
      </c>
    </row>
    <row r="179" spans="1:8" x14ac:dyDescent="0.35">
      <c r="A179" t="s">
        <v>408</v>
      </c>
      <c r="B179" t="s">
        <v>397</v>
      </c>
      <c r="C179" t="s">
        <v>678</v>
      </c>
      <c r="D179">
        <v>550</v>
      </c>
      <c r="E179">
        <v>7555</v>
      </c>
      <c r="F179">
        <v>8000</v>
      </c>
      <c r="G179">
        <f t="shared" si="2"/>
        <v>445</v>
      </c>
      <c r="H179">
        <v>0</v>
      </c>
    </row>
    <row r="180" spans="1:8" x14ac:dyDescent="0.35">
      <c r="A180" t="s">
        <v>404</v>
      </c>
      <c r="B180" t="s">
        <v>398</v>
      </c>
      <c r="C180" t="s">
        <v>678</v>
      </c>
      <c r="D180">
        <v>555</v>
      </c>
      <c r="E180">
        <v>576</v>
      </c>
      <c r="F180">
        <v>600</v>
      </c>
      <c r="G180">
        <f t="shared" si="2"/>
        <v>24</v>
      </c>
      <c r="H180">
        <v>0</v>
      </c>
    </row>
    <row r="181" spans="1:8" x14ac:dyDescent="0.35">
      <c r="A181" t="s">
        <v>405</v>
      </c>
      <c r="B181" t="s">
        <v>396</v>
      </c>
      <c r="D181">
        <v>12</v>
      </c>
      <c r="E181">
        <v>56</v>
      </c>
      <c r="F181">
        <v>70</v>
      </c>
      <c r="G181">
        <f t="shared" si="2"/>
        <v>14</v>
      </c>
      <c r="H181">
        <v>0</v>
      </c>
    </row>
    <row r="182" spans="1:8" x14ac:dyDescent="0.35">
      <c r="A182" t="s">
        <v>406</v>
      </c>
      <c r="B182" t="s">
        <v>396</v>
      </c>
      <c r="D182">
        <v>12</v>
      </c>
      <c r="E182">
        <v>76</v>
      </c>
      <c r="F182">
        <v>80</v>
      </c>
      <c r="G182">
        <f t="shared" si="2"/>
        <v>4</v>
      </c>
      <c r="H182">
        <v>0</v>
      </c>
    </row>
    <row r="183" spans="1:8" x14ac:dyDescent="0.35">
      <c r="A183" t="s">
        <v>404</v>
      </c>
      <c r="B183" t="s">
        <v>386</v>
      </c>
      <c r="C183" t="s">
        <v>678</v>
      </c>
      <c r="D183">
        <v>345</v>
      </c>
      <c r="E183">
        <v>765</v>
      </c>
      <c r="F183">
        <v>765</v>
      </c>
      <c r="G183">
        <f t="shared" si="2"/>
        <v>0</v>
      </c>
      <c r="H183">
        <v>0</v>
      </c>
    </row>
    <row r="184" spans="1:8" x14ac:dyDescent="0.35">
      <c r="A184" t="s">
        <v>402</v>
      </c>
      <c r="B184" t="s">
        <v>395</v>
      </c>
      <c r="D184">
        <v>32</v>
      </c>
      <c r="E184">
        <v>666</v>
      </c>
      <c r="F184">
        <v>666</v>
      </c>
      <c r="G184">
        <f t="shared" si="2"/>
        <v>0</v>
      </c>
      <c r="H184">
        <v>0</v>
      </c>
    </row>
    <row r="185" spans="1:8" x14ac:dyDescent="0.35">
      <c r="A185" t="s">
        <v>400</v>
      </c>
      <c r="B185" t="s">
        <v>388</v>
      </c>
      <c r="D185">
        <v>77</v>
      </c>
      <c r="E185">
        <v>645</v>
      </c>
      <c r="F185">
        <v>700</v>
      </c>
      <c r="G185">
        <f t="shared" si="2"/>
        <v>55</v>
      </c>
      <c r="H185">
        <v>0</v>
      </c>
    </row>
    <row r="186" spans="1:8" x14ac:dyDescent="0.35">
      <c r="A186" t="s">
        <v>407</v>
      </c>
      <c r="B186" t="s">
        <v>388</v>
      </c>
      <c r="D186">
        <v>77</v>
      </c>
      <c r="E186">
        <v>346</v>
      </c>
      <c r="F186">
        <v>400</v>
      </c>
      <c r="G186">
        <f t="shared" si="2"/>
        <v>54</v>
      </c>
      <c r="H186">
        <v>0</v>
      </c>
    </row>
    <row r="187" spans="1:8" x14ac:dyDescent="0.35">
      <c r="A187" t="s">
        <v>404</v>
      </c>
      <c r="B187" t="s">
        <v>385</v>
      </c>
      <c r="D187">
        <v>2</v>
      </c>
      <c r="E187">
        <v>765</v>
      </c>
      <c r="F187">
        <v>800</v>
      </c>
      <c r="G187">
        <f t="shared" si="2"/>
        <v>35</v>
      </c>
      <c r="H187">
        <v>0</v>
      </c>
    </row>
    <row r="188" spans="1:8" x14ac:dyDescent="0.35">
      <c r="A188" t="s">
        <v>408</v>
      </c>
      <c r="B188" t="s">
        <v>391</v>
      </c>
      <c r="D188">
        <v>1</v>
      </c>
      <c r="E188">
        <v>57</v>
      </c>
      <c r="F188">
        <v>70</v>
      </c>
      <c r="G188">
        <f t="shared" si="2"/>
        <v>13</v>
      </c>
      <c r="H188">
        <v>0</v>
      </c>
    </row>
    <row r="189" spans="1:8" x14ac:dyDescent="0.35">
      <c r="A189" t="s">
        <v>402</v>
      </c>
      <c r="B189" t="s">
        <v>386</v>
      </c>
      <c r="C189" t="s">
        <v>678</v>
      </c>
      <c r="D189">
        <v>345</v>
      </c>
      <c r="E189">
        <v>567</v>
      </c>
      <c r="F189">
        <v>600</v>
      </c>
      <c r="G189">
        <f t="shared" si="2"/>
        <v>33</v>
      </c>
      <c r="H189">
        <v>0</v>
      </c>
    </row>
    <row r="190" spans="1:8" x14ac:dyDescent="0.35">
      <c r="A190" t="s">
        <v>404</v>
      </c>
      <c r="B190" t="s">
        <v>391</v>
      </c>
      <c r="D190">
        <v>1</v>
      </c>
      <c r="E190">
        <v>57</v>
      </c>
      <c r="F190">
        <v>70</v>
      </c>
      <c r="G190">
        <f t="shared" si="2"/>
        <v>13</v>
      </c>
      <c r="H19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38"/>
  <sheetViews>
    <sheetView topLeftCell="A52" zoomScale="70" zoomScaleNormal="70" workbookViewId="0">
      <selection activeCell="G39" sqref="G39"/>
    </sheetView>
  </sheetViews>
  <sheetFormatPr defaultRowHeight="14.5" x14ac:dyDescent="0.35"/>
  <cols>
    <col min="1" max="1" width="12.36328125" customWidth="1"/>
    <col min="2" max="2" width="14.26953125" customWidth="1"/>
    <col min="3" max="3" width="16.36328125" bestFit="1" customWidth="1"/>
    <col min="4" max="6" width="16.36328125" customWidth="1"/>
    <col min="7" max="7" width="11.81640625" customWidth="1"/>
    <col min="8" max="12" width="7.26953125" customWidth="1"/>
    <col min="13" max="13" width="10.7265625" bestFit="1" customWidth="1"/>
  </cols>
  <sheetData>
    <row r="3" spans="1:7" x14ac:dyDescent="0.35">
      <c r="A3" s="3" t="s">
        <v>719</v>
      </c>
      <c r="C3" s="3" t="s">
        <v>5</v>
      </c>
    </row>
    <row r="4" spans="1:7" x14ac:dyDescent="0.35">
      <c r="A4" s="3" t="s">
        <v>718</v>
      </c>
      <c r="B4" s="3" t="s">
        <v>9</v>
      </c>
      <c r="C4" t="s">
        <v>698</v>
      </c>
      <c r="D4" t="s">
        <v>700</v>
      </c>
      <c r="E4" t="s">
        <v>701</v>
      </c>
      <c r="F4" t="s">
        <v>699</v>
      </c>
      <c r="G4" t="s">
        <v>703</v>
      </c>
    </row>
    <row r="5" spans="1:7" x14ac:dyDescent="0.35">
      <c r="A5" t="s">
        <v>704</v>
      </c>
      <c r="B5" s="1" t="s">
        <v>715</v>
      </c>
      <c r="C5" s="4">
        <v>24</v>
      </c>
      <c r="D5" s="4"/>
      <c r="E5" s="4"/>
      <c r="F5" s="4">
        <v>37</v>
      </c>
      <c r="G5" s="4">
        <v>61</v>
      </c>
    </row>
    <row r="6" spans="1:7" x14ac:dyDescent="0.35">
      <c r="B6" s="1" t="s">
        <v>716</v>
      </c>
      <c r="C6" s="4">
        <v>61</v>
      </c>
      <c r="D6" s="4"/>
      <c r="E6" s="4"/>
      <c r="F6" s="4"/>
      <c r="G6" s="4">
        <v>61</v>
      </c>
    </row>
    <row r="7" spans="1:7" x14ac:dyDescent="0.35">
      <c r="B7" s="1" t="s">
        <v>717</v>
      </c>
      <c r="C7" s="4">
        <v>50</v>
      </c>
      <c r="D7" s="4"/>
      <c r="E7" s="4"/>
      <c r="F7" s="4"/>
      <c r="G7" s="4">
        <v>50</v>
      </c>
    </row>
    <row r="8" spans="1:7" x14ac:dyDescent="0.35">
      <c r="B8" s="1" t="s">
        <v>721</v>
      </c>
      <c r="C8" s="4">
        <v>44</v>
      </c>
      <c r="D8" s="4"/>
      <c r="E8" s="4"/>
      <c r="F8" s="4">
        <v>36</v>
      </c>
      <c r="G8" s="4">
        <v>80</v>
      </c>
    </row>
    <row r="9" spans="1:7" x14ac:dyDescent="0.35">
      <c r="B9" s="1" t="s">
        <v>722</v>
      </c>
      <c r="C9" s="4">
        <v>44</v>
      </c>
      <c r="D9" s="4"/>
      <c r="E9" s="4"/>
      <c r="F9" s="4">
        <v>27</v>
      </c>
      <c r="G9" s="4">
        <v>71</v>
      </c>
    </row>
    <row r="10" spans="1:7" x14ac:dyDescent="0.35">
      <c r="B10" s="1" t="s">
        <v>723</v>
      </c>
      <c r="C10" s="4">
        <v>33</v>
      </c>
      <c r="D10" s="4"/>
      <c r="E10" s="4"/>
      <c r="F10" s="4">
        <v>12</v>
      </c>
      <c r="G10" s="4">
        <v>45</v>
      </c>
    </row>
    <row r="11" spans="1:7" x14ac:dyDescent="0.35">
      <c r="B11" s="1" t="s">
        <v>724</v>
      </c>
      <c r="C11" s="4">
        <v>73</v>
      </c>
      <c r="D11" s="4"/>
      <c r="E11" s="4"/>
      <c r="F11" s="4"/>
      <c r="G11" s="4">
        <v>73</v>
      </c>
    </row>
    <row r="12" spans="1:7" x14ac:dyDescent="0.35">
      <c r="B12" s="1" t="s">
        <v>725</v>
      </c>
      <c r="C12" s="4">
        <v>71</v>
      </c>
      <c r="D12" s="4"/>
      <c r="E12" s="4"/>
      <c r="F12" s="4">
        <v>13</v>
      </c>
      <c r="G12" s="4">
        <v>84</v>
      </c>
    </row>
    <row r="13" spans="1:7" x14ac:dyDescent="0.35">
      <c r="B13" s="1" t="s">
        <v>711</v>
      </c>
      <c r="C13" s="4">
        <v>96</v>
      </c>
      <c r="D13" s="4"/>
      <c r="E13" s="4"/>
      <c r="F13" s="4">
        <v>47</v>
      </c>
      <c r="G13" s="4">
        <v>143</v>
      </c>
    </row>
    <row r="14" spans="1:7" x14ac:dyDescent="0.35">
      <c r="B14" s="1" t="s">
        <v>712</v>
      </c>
      <c r="C14" s="4">
        <v>101</v>
      </c>
      <c r="D14" s="4"/>
      <c r="E14" s="4"/>
      <c r="F14" s="4">
        <v>16</v>
      </c>
      <c r="G14" s="4">
        <v>117</v>
      </c>
    </row>
    <row r="15" spans="1:7" x14ac:dyDescent="0.35">
      <c r="B15" s="1" t="s">
        <v>713</v>
      </c>
      <c r="C15" s="4">
        <v>99</v>
      </c>
      <c r="D15" s="4">
        <v>14</v>
      </c>
      <c r="E15" s="4"/>
      <c r="F15" s="4">
        <v>173</v>
      </c>
      <c r="G15" s="4">
        <v>286</v>
      </c>
    </row>
    <row r="16" spans="1:7" x14ac:dyDescent="0.35">
      <c r="B16" s="1" t="s">
        <v>714</v>
      </c>
      <c r="C16" s="4">
        <v>191</v>
      </c>
      <c r="D16" s="4"/>
      <c r="E16" s="4">
        <v>70</v>
      </c>
      <c r="F16" s="4">
        <v>207</v>
      </c>
      <c r="G16" s="4">
        <v>468</v>
      </c>
    </row>
    <row r="17" spans="1:7" x14ac:dyDescent="0.35">
      <c r="A17" t="s">
        <v>705</v>
      </c>
      <c r="B17" s="1" t="s">
        <v>715</v>
      </c>
      <c r="C17" s="4">
        <v>207</v>
      </c>
      <c r="D17" s="4">
        <v>13</v>
      </c>
      <c r="E17" s="4"/>
      <c r="F17" s="4"/>
      <c r="G17" s="4">
        <v>220</v>
      </c>
    </row>
    <row r="18" spans="1:7" x14ac:dyDescent="0.35">
      <c r="B18" s="1" t="s">
        <v>716</v>
      </c>
      <c r="C18" s="4">
        <v>114</v>
      </c>
      <c r="D18" s="4"/>
      <c r="E18" s="4"/>
      <c r="F18" s="4"/>
      <c r="G18" s="4">
        <v>114</v>
      </c>
    </row>
    <row r="19" spans="1:7" x14ac:dyDescent="0.35">
      <c r="B19" s="1" t="s">
        <v>717</v>
      </c>
      <c r="C19" s="4">
        <v>155</v>
      </c>
      <c r="D19" s="4"/>
      <c r="E19" s="4"/>
      <c r="F19" s="4"/>
      <c r="G19" s="4">
        <v>155</v>
      </c>
    </row>
    <row r="20" spans="1:7" x14ac:dyDescent="0.35">
      <c r="B20" s="1" t="s">
        <v>725</v>
      </c>
      <c r="C20" s="4">
        <v>53</v>
      </c>
      <c r="D20" s="4"/>
      <c r="E20" s="4"/>
      <c r="F20" s="4"/>
      <c r="G20" s="4">
        <v>53</v>
      </c>
    </row>
    <row r="21" spans="1:7" x14ac:dyDescent="0.35">
      <c r="B21" s="1" t="s">
        <v>711</v>
      </c>
      <c r="C21" s="4"/>
      <c r="D21" s="4"/>
      <c r="E21" s="4"/>
      <c r="F21" s="4">
        <v>14</v>
      </c>
      <c r="G21" s="4">
        <v>14</v>
      </c>
    </row>
    <row r="22" spans="1:7" x14ac:dyDescent="0.35">
      <c r="B22" s="1" t="s">
        <v>713</v>
      </c>
      <c r="C22" s="4">
        <v>17</v>
      </c>
      <c r="D22" s="4"/>
      <c r="E22" s="4"/>
      <c r="F22" s="4"/>
      <c r="G22" s="4">
        <v>17</v>
      </c>
    </row>
    <row r="23" spans="1:7" x14ac:dyDescent="0.35">
      <c r="A23" t="s">
        <v>706</v>
      </c>
      <c r="B23" s="1" t="s">
        <v>717</v>
      </c>
      <c r="C23" s="4">
        <v>15</v>
      </c>
      <c r="D23" s="4"/>
      <c r="E23" s="4"/>
      <c r="F23" s="4"/>
      <c r="G23" s="4">
        <v>15</v>
      </c>
    </row>
    <row r="24" spans="1:7" x14ac:dyDescent="0.35">
      <c r="B24" s="1" t="s">
        <v>714</v>
      </c>
      <c r="C24" s="4">
        <v>30</v>
      </c>
      <c r="D24" s="4"/>
      <c r="E24" s="4"/>
      <c r="F24" s="4"/>
      <c r="G24" s="4">
        <v>30</v>
      </c>
    </row>
    <row r="25" spans="1:7" x14ac:dyDescent="0.35">
      <c r="A25" t="s">
        <v>707</v>
      </c>
      <c r="B25" s="1" t="s">
        <v>715</v>
      </c>
      <c r="C25" s="4">
        <v>59</v>
      </c>
      <c r="D25" s="4"/>
      <c r="E25" s="4"/>
      <c r="F25" s="4"/>
      <c r="G25" s="4">
        <v>59</v>
      </c>
    </row>
    <row r="26" spans="1:7" x14ac:dyDescent="0.35">
      <c r="B26" s="1" t="s">
        <v>713</v>
      </c>
      <c r="C26" s="4">
        <v>15</v>
      </c>
      <c r="D26" s="4"/>
      <c r="E26" s="4"/>
      <c r="F26" s="4"/>
      <c r="G26" s="4">
        <v>15</v>
      </c>
    </row>
    <row r="27" spans="1:7" x14ac:dyDescent="0.35">
      <c r="A27" t="s">
        <v>708</v>
      </c>
      <c r="B27" s="1" t="s">
        <v>715</v>
      </c>
      <c r="C27" s="4">
        <v>73</v>
      </c>
      <c r="D27" s="4"/>
      <c r="E27" s="4"/>
      <c r="F27" s="4"/>
      <c r="G27" s="4">
        <v>73</v>
      </c>
    </row>
    <row r="28" spans="1:7" x14ac:dyDescent="0.35">
      <c r="B28" s="1" t="s">
        <v>722</v>
      </c>
      <c r="C28" s="4">
        <v>13</v>
      </c>
      <c r="D28" s="4"/>
      <c r="E28" s="4"/>
      <c r="F28" s="4"/>
      <c r="G28" s="4">
        <v>13</v>
      </c>
    </row>
    <row r="29" spans="1:7" x14ac:dyDescent="0.35">
      <c r="B29" s="1" t="s">
        <v>711</v>
      </c>
      <c r="C29" s="4">
        <v>14</v>
      </c>
      <c r="D29" s="4"/>
      <c r="E29" s="4"/>
      <c r="F29" s="4"/>
      <c r="G29" s="4">
        <v>14</v>
      </c>
    </row>
    <row r="30" spans="1:7" x14ac:dyDescent="0.35">
      <c r="B30" s="1" t="s">
        <v>712</v>
      </c>
      <c r="C30" s="4">
        <v>12</v>
      </c>
      <c r="D30" s="4"/>
      <c r="E30" s="4"/>
      <c r="F30" s="4"/>
      <c r="G30" s="4">
        <v>12</v>
      </c>
    </row>
    <row r="31" spans="1:7" x14ac:dyDescent="0.35">
      <c r="B31" s="1" t="s">
        <v>713</v>
      </c>
      <c r="C31" s="4">
        <v>28</v>
      </c>
      <c r="D31" s="4"/>
      <c r="E31" s="4"/>
      <c r="F31" s="4"/>
      <c r="G31" s="4">
        <v>28</v>
      </c>
    </row>
    <row r="32" spans="1:7" x14ac:dyDescent="0.35">
      <c r="A32" t="s">
        <v>709</v>
      </c>
      <c r="B32" s="1" t="s">
        <v>715</v>
      </c>
      <c r="C32" s="4">
        <v>111</v>
      </c>
      <c r="D32" s="4"/>
      <c r="E32" s="4"/>
      <c r="F32" s="4"/>
      <c r="G32" s="4">
        <v>111</v>
      </c>
    </row>
    <row r="33" spans="1:7" x14ac:dyDescent="0.35">
      <c r="B33" s="1" t="s">
        <v>716</v>
      </c>
      <c r="C33" s="4">
        <v>156</v>
      </c>
      <c r="D33" s="4"/>
      <c r="E33" s="4"/>
      <c r="F33" s="4"/>
      <c r="G33" s="4">
        <v>156</v>
      </c>
    </row>
    <row r="34" spans="1:7" x14ac:dyDescent="0.35">
      <c r="B34" s="1" t="s">
        <v>721</v>
      </c>
      <c r="C34" s="4">
        <v>16</v>
      </c>
      <c r="D34" s="4"/>
      <c r="E34" s="4"/>
      <c r="F34" s="4"/>
      <c r="G34" s="4">
        <v>16</v>
      </c>
    </row>
    <row r="35" spans="1:7" x14ac:dyDescent="0.35">
      <c r="B35" s="1" t="s">
        <v>711</v>
      </c>
      <c r="C35" s="4">
        <v>16</v>
      </c>
      <c r="D35" s="4"/>
      <c r="E35" s="4"/>
      <c r="F35" s="4"/>
      <c r="G35" s="4">
        <v>16</v>
      </c>
    </row>
    <row r="36" spans="1:7" x14ac:dyDescent="0.35">
      <c r="B36" s="1" t="s">
        <v>714</v>
      </c>
      <c r="C36" s="4">
        <v>13</v>
      </c>
      <c r="D36" s="4"/>
      <c r="E36" s="4"/>
      <c r="F36" s="4"/>
      <c r="G36" s="4">
        <v>13</v>
      </c>
    </row>
    <row r="37" spans="1:7" x14ac:dyDescent="0.35">
      <c r="A37" t="s">
        <v>710</v>
      </c>
      <c r="B37" s="1" t="s">
        <v>716</v>
      </c>
      <c r="C37" s="4">
        <v>137</v>
      </c>
      <c r="D37" s="4"/>
      <c r="E37" s="4"/>
      <c r="F37" s="4"/>
      <c r="G37" s="4">
        <v>137</v>
      </c>
    </row>
    <row r="38" spans="1:7" x14ac:dyDescent="0.35">
      <c r="A38" t="s">
        <v>703</v>
      </c>
      <c r="C38" s="4">
        <v>2141</v>
      </c>
      <c r="D38" s="4">
        <v>27</v>
      </c>
      <c r="E38" s="4">
        <v>70</v>
      </c>
      <c r="F38" s="4">
        <v>582</v>
      </c>
      <c r="G38" s="4">
        <v>2820</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zoomScale="70" zoomScaleNormal="70" workbookViewId="0">
      <selection activeCell="G18" sqref="G18"/>
    </sheetView>
  </sheetViews>
  <sheetFormatPr defaultRowHeight="14.5" x14ac:dyDescent="0.35"/>
  <cols>
    <col min="1" max="1" width="11.81640625" customWidth="1"/>
    <col min="2" max="2" width="12.81640625" customWidth="1"/>
    <col min="3" max="3" width="12.81640625" bestFit="1" customWidth="1"/>
    <col min="4" max="4" width="12.81640625" customWidth="1"/>
    <col min="5" max="6" width="16.36328125" customWidth="1"/>
    <col min="7" max="7" width="16.36328125" bestFit="1" customWidth="1"/>
    <col min="8" max="8" width="11.81640625" bestFit="1" customWidth="1"/>
    <col min="9" max="12" width="7.26953125" customWidth="1"/>
    <col min="13" max="13" width="10.7265625" bestFit="1" customWidth="1"/>
  </cols>
  <sheetData>
    <row r="3" spans="1:2" x14ac:dyDescent="0.35">
      <c r="A3" s="3" t="s">
        <v>4</v>
      </c>
      <c r="B3" t="s">
        <v>719</v>
      </c>
    </row>
    <row r="4" spans="1:2" x14ac:dyDescent="0.35">
      <c r="A4" t="s">
        <v>665</v>
      </c>
      <c r="B4" s="4">
        <v>951</v>
      </c>
    </row>
    <row r="5" spans="1:2" x14ac:dyDescent="0.35">
      <c r="A5" t="s">
        <v>670</v>
      </c>
      <c r="B5" s="4">
        <v>325</v>
      </c>
    </row>
    <row r="6" spans="1:2" x14ac:dyDescent="0.35">
      <c r="A6" t="s">
        <v>666</v>
      </c>
      <c r="B6" s="4">
        <v>315</v>
      </c>
    </row>
    <row r="7" spans="1:2" x14ac:dyDescent="0.35">
      <c r="A7" t="s">
        <v>669</v>
      </c>
      <c r="B7" s="4">
        <v>246</v>
      </c>
    </row>
    <row r="8" spans="1:2" x14ac:dyDescent="0.35">
      <c r="A8" t="s">
        <v>664</v>
      </c>
      <c r="B8" s="4">
        <v>415</v>
      </c>
    </row>
    <row r="9" spans="1:2" x14ac:dyDescent="0.35">
      <c r="A9" t="s">
        <v>668</v>
      </c>
      <c r="B9" s="4">
        <v>278</v>
      </c>
    </row>
    <row r="10" spans="1:2" x14ac:dyDescent="0.35">
      <c r="A10" t="s">
        <v>667</v>
      </c>
      <c r="B10" s="4">
        <v>290</v>
      </c>
    </row>
    <row r="11" spans="1:2" x14ac:dyDescent="0.35">
      <c r="A11" t="s">
        <v>703</v>
      </c>
      <c r="B11" s="4">
        <v>2820</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zoomScale="70" zoomScaleNormal="70" workbookViewId="0">
      <selection activeCell="F29" sqref="F29"/>
    </sheetView>
  </sheetViews>
  <sheetFormatPr defaultRowHeight="14.5" x14ac:dyDescent="0.35"/>
  <cols>
    <col min="1" max="1" width="18.90625" customWidth="1"/>
    <col min="2" max="2" width="12.81640625" customWidth="1"/>
    <col min="3" max="3" width="12.81640625" bestFit="1" customWidth="1"/>
    <col min="4" max="4" width="12.81640625" customWidth="1"/>
    <col min="5" max="6" width="16.36328125" customWidth="1"/>
    <col min="7" max="7" width="16.36328125" bestFit="1" customWidth="1"/>
    <col min="8" max="8" width="11.81640625" bestFit="1" customWidth="1"/>
    <col min="9" max="12" width="7.26953125" customWidth="1"/>
    <col min="13" max="13" width="10.7265625" bestFit="1" customWidth="1"/>
  </cols>
  <sheetData>
    <row r="3" spans="1:2" x14ac:dyDescent="0.35">
      <c r="A3" s="3" t="s">
        <v>414</v>
      </c>
      <c r="B3" t="s">
        <v>719</v>
      </c>
    </row>
    <row r="4" spans="1:2" x14ac:dyDescent="0.35">
      <c r="A4" t="s">
        <v>469</v>
      </c>
      <c r="B4" s="4">
        <v>65</v>
      </c>
    </row>
    <row r="5" spans="1:2" x14ac:dyDescent="0.35">
      <c r="A5" t="s">
        <v>467</v>
      </c>
      <c r="B5" s="4">
        <v>77</v>
      </c>
    </row>
    <row r="6" spans="1:2" x14ac:dyDescent="0.35">
      <c r="A6" t="s">
        <v>465</v>
      </c>
      <c r="B6" s="4">
        <v>99</v>
      </c>
    </row>
    <row r="7" spans="1:2" x14ac:dyDescent="0.35">
      <c r="A7" t="s">
        <v>463</v>
      </c>
      <c r="B7" s="4">
        <v>124</v>
      </c>
    </row>
    <row r="8" spans="1:2" x14ac:dyDescent="0.35">
      <c r="A8" t="s">
        <v>466</v>
      </c>
      <c r="B8" s="4">
        <v>143</v>
      </c>
    </row>
    <row r="9" spans="1:2" x14ac:dyDescent="0.35">
      <c r="A9" t="s">
        <v>464</v>
      </c>
      <c r="B9" s="4">
        <v>193</v>
      </c>
    </row>
    <row r="10" spans="1:2" x14ac:dyDescent="0.35">
      <c r="A10" t="s">
        <v>703</v>
      </c>
      <c r="B10" s="4">
        <v>701</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activeCell="S44" sqref="S44"/>
    </sheetView>
  </sheetViews>
  <sheetFormatPr defaultRowHeight="14.5" x14ac:dyDescent="0.35"/>
  <cols>
    <col min="1" max="1" width="1.6328125" customWidth="1"/>
  </cols>
  <sheetData>
    <row r="1" ht="5" customHeight="1"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vt:lpstr>
      <vt:lpstr>Customers</vt:lpstr>
      <vt:lpstr>Products</vt:lpstr>
      <vt:lpstr>Sheet3</vt:lpstr>
      <vt:lpstr>Sheet3 (2)</vt:lpstr>
      <vt:lpstr>Sheet3 (3)</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RJ-LONE</dc:creator>
  <cp:lastModifiedBy>RJ-LONE</cp:lastModifiedBy>
  <dcterms:created xsi:type="dcterms:W3CDTF">2026-06-06T09:37:41Z</dcterms:created>
  <dcterms:modified xsi:type="dcterms:W3CDTF">2026-07-18T18:22:30Z</dcterms:modified>
</cp:coreProperties>
</file>